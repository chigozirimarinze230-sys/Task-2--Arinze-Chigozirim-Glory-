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san\Documents\"/>
    </mc:Choice>
  </mc:AlternateContent>
  <xr:revisionPtr revIDLastSave="0" documentId="13_ncr:1_{96CB3F1F-FC2B-4DA9-9CDC-6A294D5C40CC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Sheet1" sheetId="1" r:id="rId1"/>
    <sheet name="EDA Analysis" sheetId="2" r:id="rId2"/>
  </sheets>
  <definedNames>
    <definedName name="_xlnm._FilterDatabase" localSheetId="0" hidden="1">Sheet1!$A$1:$N$1201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8" i="2" l="1"/>
  <c r="B2" i="2"/>
  <c r="B4" i="2"/>
  <c r="E6" i="2"/>
  <c r="E5" i="2"/>
  <c r="E4" i="2"/>
  <c r="E3" i="2"/>
  <c r="E2" i="2"/>
  <c r="K5" i="2"/>
  <c r="K6" i="2"/>
  <c r="K4" i="2"/>
  <c r="EF13" i="1"/>
  <c r="K8" i="2"/>
  <c r="K7" i="2"/>
  <c r="H9" i="2"/>
  <c r="H8" i="2"/>
  <c r="H7" i="2"/>
  <c r="H6" i="2"/>
  <c r="H5" i="2"/>
  <c r="H4" i="2"/>
  <c r="H3" i="2"/>
  <c r="B7" i="2"/>
  <c r="B6" i="2"/>
  <c r="B5" i="2"/>
  <c r="B3" i="2"/>
  <c r="H10" i="2" l="1"/>
  <c r="E7" i="2"/>
</calcChain>
</file>

<file path=xl/sharedStrings.xml><?xml version="1.0" encoding="utf-8"?>
<sst xmlns="http://schemas.openxmlformats.org/spreadsheetml/2006/main" count="10848" uniqueCount="4299">
  <si>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</si>
  <si>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</si>
  <si>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</si>
  <si>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</si>
  <si>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</si>
  <si>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</si>
  <si>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</si>
  <si>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</si>
  <si>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</si>
  <si>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</si>
  <si>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</si>
  <si>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</si>
  <si>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</si>
  <si>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</si>
  <si>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</si>
  <si>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</si>
  <si>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</si>
  <si>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</si>
  <si>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</si>
  <si>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</si>
  <si>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</si>
  <si>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</si>
  <si>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</si>
  <si>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</si>
  <si>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</si>
  <si>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</si>
  <si>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</si>
  <si>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</si>
  <si>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</si>
  <si>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</si>
  <si>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</si>
  <si>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</si>
  <si>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</si>
  <si>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</si>
  <si>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</si>
  <si>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</si>
  <si>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</si>
  <si>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</si>
  <si>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</si>
  <si>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</si>
  <si>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</si>
  <si>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</si>
  <si>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</si>
  <si>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</si>
  <si>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</si>
  <si>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</si>
  <si>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</si>
  <si>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</si>
  <si>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</si>
  <si>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</si>
  <si>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</si>
  <si>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</si>
  <si>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</si>
  <si>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</si>
  <si>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</si>
  <si>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</si>
  <si>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</si>
  <si>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</si>
  <si>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</si>
  <si>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</si>
  <si>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</si>
  <si>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</si>
  <si>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</si>
  <si>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</si>
  <si>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</si>
  <si>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</si>
  <si>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</si>
  <si>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</si>
  <si>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</si>
  <si>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</si>
  <si>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</si>
  <si>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</si>
  <si>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</si>
  <si>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</si>
  <si>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</si>
  <si>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</si>
  <si>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</si>
  <si>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</si>
  <si>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</si>
  <si>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</si>
  <si>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</si>
  <si>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</si>
  <si>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</si>
  <si>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</si>
  <si>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</si>
  <si>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</si>
  <si>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</si>
  <si>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</si>
  <si>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</si>
  <si>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</si>
  <si>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</si>
  <si>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</si>
  <si>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</si>
  <si>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</si>
  <si>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</si>
  <si>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</si>
  <si>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</si>
  <si>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</si>
  <si>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</si>
  <si>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</si>
  <si>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</si>
  <si>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</si>
  <si>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</si>
  <si>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</si>
  <si>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</si>
  <si>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</si>
  <si>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</si>
  <si>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</si>
  <si>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</si>
  <si>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</si>
  <si>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</si>
  <si>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</si>
  <si>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</si>
  <si>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</si>
  <si>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</si>
  <si>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</si>
  <si>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</si>
  <si>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</si>
  <si>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</si>
  <si>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</si>
  <si>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</si>
  <si>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</si>
  <si>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</si>
  <si>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</si>
  <si>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</si>
  <si>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</si>
  <si>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</si>
  <si>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</si>
  <si>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</si>
  <si>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</si>
  <si>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</si>
  <si>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</si>
  <si>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</si>
  <si>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</si>
  <si>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</si>
  <si>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</si>
  <si>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</si>
  <si>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</si>
  <si>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</si>
  <si>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</si>
  <si>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</si>
  <si>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</si>
  <si>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</si>
  <si>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</si>
  <si>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</si>
  <si>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</si>
  <si>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</si>
  <si>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</si>
  <si>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</si>
  <si>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</si>
  <si>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</si>
  <si>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</si>
  <si>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</si>
  <si>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</si>
  <si>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</si>
  <si>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</si>
  <si>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</si>
  <si>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</si>
  <si>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</si>
  <si>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</si>
  <si>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</si>
  <si>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</si>
  <si>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</si>
  <si>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</si>
  <si>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</si>
  <si>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</si>
  <si>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</si>
  <si>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</si>
  <si>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</si>
  <si>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</si>
  <si>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</si>
  <si>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</si>
  <si>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</si>
  <si>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</si>
  <si>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</si>
  <si>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</si>
  <si>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</si>
  <si>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</si>
  <si>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</si>
  <si>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</si>
  <si>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</si>
  <si>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</si>
  <si>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</si>
  <si>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</si>
  <si>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</si>
  <si>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</si>
  <si>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</si>
  <si>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</si>
  <si>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</si>
  <si>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</si>
  <si>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</si>
  <si>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</si>
  <si>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</si>
  <si>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</si>
  <si>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</si>
  <si>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</si>
  <si>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</si>
  <si>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</si>
  <si>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</si>
  <si>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</si>
  <si>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</si>
  <si>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</si>
  <si>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</si>
  <si>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</si>
  <si>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</si>
  <si>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</si>
  <si>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</si>
  <si>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</si>
  <si>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</si>
  <si>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</si>
  <si>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</si>
  <si>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</si>
  <si>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</si>
  <si>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</si>
  <si>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</si>
  <si>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</si>
  <si>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</si>
  <si>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</si>
  <si>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</si>
  <si>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</si>
  <si>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</si>
  <si>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</si>
  <si>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</si>
  <si>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</si>
  <si>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</si>
  <si>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</si>
  <si>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</si>
  <si>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</si>
  <si>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</si>
  <si>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</si>
  <si>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</si>
  <si>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</si>
  <si>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</si>
  <si>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</si>
  <si>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</si>
  <si>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</si>
  <si>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</si>
  <si>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</si>
  <si>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</si>
  <si>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</si>
  <si>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</si>
  <si>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</si>
  <si>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</si>
  <si>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</si>
  <si>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</si>
  <si>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</si>
  <si>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</si>
  <si>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</si>
  <si>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</si>
  <si>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</si>
  <si>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</si>
  <si>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</si>
  <si>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</si>
  <si>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</si>
  <si>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</si>
  <si>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</si>
  <si>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</si>
  <si>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</si>
  <si>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</si>
  <si>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</si>
  <si>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</si>
  <si>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</si>
  <si>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</si>
  <si>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</si>
  <si>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</si>
  <si>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</si>
  <si>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</si>
  <si>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</si>
  <si>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</si>
  <si>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</si>
  <si>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</si>
  <si>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</si>
  <si>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</si>
  <si>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</si>
  <si>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</si>
  <si>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</si>
  <si>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</si>
  <si>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</si>
  <si>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</si>
  <si>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</si>
  <si>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</si>
  <si>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</si>
  <si>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</si>
  <si>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</si>
  <si>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</si>
  <si>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</si>
  <si>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</si>
  <si>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</si>
  <si>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</si>
  <si>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</si>
  <si>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</si>
  <si>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</si>
  <si>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</si>
  <si>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</si>
  <si>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</si>
  <si>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</si>
  <si>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</si>
  <si>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</si>
  <si>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</si>
  <si>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</si>
  <si>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</si>
  <si>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</si>
  <si>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</si>
  <si>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</si>
  <si>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</si>
  <si>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</si>
  <si>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</si>
  <si>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</si>
  <si>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</si>
  <si>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</si>
  <si>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</si>
  <si>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</si>
  <si>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</si>
  <si>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</si>
  <si>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</si>
  <si>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</si>
  <si>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</si>
  <si>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</si>
  <si>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</si>
  <si>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</si>
  <si>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</si>
  <si>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</si>
  <si>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</si>
  <si>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</si>
  <si>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</si>
  <si>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</si>
  <si>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</si>
  <si>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</si>
  <si>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</si>
  <si>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</si>
  <si>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</si>
  <si>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</si>
  <si>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</si>
  <si>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</si>
  <si>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</si>
  <si>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</si>
  <si>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</si>
  <si>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</si>
  <si>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</si>
  <si>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</si>
  <si>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</si>
  <si>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</si>
  <si>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</si>
  <si>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</si>
  <si>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</si>
  <si>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</si>
  <si>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</si>
  <si>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</si>
  <si>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</si>
  <si>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</si>
  <si>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</si>
  <si>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</si>
  <si>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</si>
  <si>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</si>
  <si>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</si>
  <si>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</si>
  <si>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</si>
  <si>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</si>
  <si>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</si>
  <si>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</si>
  <si>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</si>
  <si>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</si>
  <si>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</si>
  <si>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</si>
  <si>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</si>
  <si>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</si>
  <si>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</si>
  <si>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</si>
  <si>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</si>
  <si>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</si>
  <si>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</si>
  <si>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</si>
  <si>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</si>
  <si>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</si>
  <si>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</si>
  <si>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</si>
  <si>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</si>
  <si>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</si>
  <si>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</si>
  <si>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</si>
  <si>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</si>
  <si>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</si>
  <si>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</si>
  <si>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</si>
  <si>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</si>
  <si>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</si>
  <si>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</si>
  <si>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</si>
  <si>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</si>
  <si>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</si>
  <si>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</si>
  <si>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</si>
  <si>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</si>
  <si>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</si>
  <si>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</si>
  <si>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</si>
  <si>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</si>
  <si>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</si>
  <si>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</si>
  <si>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</si>
  <si>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</si>
  <si>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</si>
  <si>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</si>
  <si>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</si>
  <si>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</si>
  <si>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</si>
  <si>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</si>
  <si>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</si>
  <si>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</si>
  <si>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</si>
  <si>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</si>
  <si>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</si>
  <si>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</si>
  <si>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</si>
  <si>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</si>
  <si>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</si>
  <si>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</si>
  <si>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</si>
  <si>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</si>
  <si>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</si>
  <si>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</si>
  <si>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</si>
  <si>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</si>
  <si>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</si>
  <si>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</si>
  <si>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</si>
  <si>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</si>
  <si>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</si>
  <si>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</si>
  <si>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</si>
  <si>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</si>
  <si>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</si>
  <si>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</si>
  <si>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</si>
  <si>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</si>
  <si>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</si>
  <si>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</si>
  <si>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</si>
  <si>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</si>
  <si>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</si>
  <si>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</si>
  <si>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</si>
  <si>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</si>
  <si>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</si>
  <si>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</si>
  <si>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</si>
  <si>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</si>
  <si>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</si>
  <si>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</si>
  <si>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</si>
  <si>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</si>
  <si>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</si>
  <si>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</si>
  <si>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</si>
  <si>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</si>
  <si>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</si>
  <si>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</si>
  <si>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</si>
  <si>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</si>
  <si>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</si>
  <si>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</si>
  <si>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</si>
  <si>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</si>
  <si>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</si>
  <si>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</si>
  <si>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</si>
  <si>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</si>
  <si>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</si>
  <si>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</si>
  <si>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</si>
  <si>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</si>
  <si>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</si>
  <si>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</si>
  <si>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</si>
  <si>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</si>
  <si>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</si>
  <si>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</si>
  <si>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</si>
  <si>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</si>
  <si>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</si>
  <si>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</si>
  <si>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</si>
  <si>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</si>
  <si>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</si>
  <si>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</si>
  <si>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</si>
  <si>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</si>
  <si>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</si>
  <si>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</si>
  <si>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</si>
  <si>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</si>
  <si>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</si>
  <si>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</si>
  <si>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</si>
  <si>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</si>
  <si>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</si>
  <si>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</si>
  <si>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</si>
  <si>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</si>
  <si>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</si>
  <si>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</si>
  <si>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</si>
  <si>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</si>
  <si>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</si>
  <si>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</si>
  <si>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</si>
  <si>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</si>
  <si>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</si>
  <si>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</si>
  <si>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</si>
  <si>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</si>
  <si>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</si>
  <si>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</si>
  <si>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</si>
  <si>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</si>
  <si>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</si>
  <si>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</si>
  <si>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</si>
  <si>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</si>
  <si>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</si>
  <si>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</si>
  <si>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</si>
  <si>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</si>
  <si>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</si>
  <si>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</si>
  <si>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</si>
  <si>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</si>
  <si>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</si>
  <si>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</si>
  <si>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</si>
  <si>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</si>
  <si>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</si>
  <si>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</si>
  <si>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</si>
  <si>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</si>
  <si>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</si>
  <si>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</si>
  <si>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</si>
  <si>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</si>
  <si>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</si>
  <si>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</si>
  <si>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</si>
  <si>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</si>
  <si>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</si>
  <si>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</si>
  <si>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</si>
  <si>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</si>
  <si>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</si>
  <si>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</si>
  <si>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</si>
  <si>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</si>
  <si>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</si>
  <si>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</si>
  <si>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</si>
  <si>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</si>
  <si>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</si>
  <si>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</si>
  <si>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</si>
  <si>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</si>
  <si>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</si>
  <si>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</si>
  <si>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</si>
  <si>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</si>
  <si>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</si>
  <si>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</si>
  <si>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</si>
  <si>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</si>
  <si>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</si>
  <si>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</si>
  <si>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</si>
  <si>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</si>
  <si>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</si>
  <si>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</si>
  <si>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</si>
  <si>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</si>
  <si>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</si>
  <si>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</si>
  <si>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</si>
  <si>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</si>
  <si>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</si>
  <si>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</si>
  <si>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</si>
  <si>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</si>
  <si>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</si>
  <si>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</si>
  <si>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</si>
  <si>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</si>
  <si>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</si>
  <si>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</si>
  <si>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</si>
  <si>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</si>
  <si>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</si>
  <si>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</si>
  <si>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</si>
  <si>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</si>
  <si>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</si>
  <si>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</si>
  <si>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</si>
  <si>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</si>
  <si>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</si>
  <si>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</si>
  <si>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</si>
  <si>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</si>
  <si>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</si>
  <si>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</si>
  <si>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</si>
  <si>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</si>
  <si>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</si>
  <si>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</si>
  <si>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</si>
  <si>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</si>
  <si>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</si>
  <si>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</si>
  <si>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</si>
  <si>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</si>
  <si>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</si>
  <si>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</si>
  <si>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</si>
  <si>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</si>
  <si>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</si>
  <si>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</si>
  <si>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</si>
  <si>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</si>
  <si>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</si>
  <si>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</si>
  <si>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</si>
  <si>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</si>
  <si>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</si>
  <si>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</si>
  <si>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</si>
  <si>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</si>
  <si>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</si>
  <si>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</si>
  <si>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</si>
  <si>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</si>
  <si>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</si>
  <si>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</si>
  <si>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</si>
  <si>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</si>
  <si>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</si>
  <si>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</si>
  <si>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</si>
  <si>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</si>
  <si>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</si>
  <si>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</si>
  <si>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</si>
  <si>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</si>
  <si>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</si>
  <si>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</si>
  <si>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</si>
  <si>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</si>
  <si>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</si>
  <si>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</si>
  <si>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</si>
  <si>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</si>
  <si>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</si>
  <si>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</si>
  <si>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</si>
  <si>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</si>
  <si>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</si>
  <si>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</si>
  <si>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</si>
  <si>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</si>
  <si>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</si>
  <si>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</si>
  <si>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</si>
  <si>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</si>
  <si>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</si>
  <si>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</si>
  <si>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</si>
  <si>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</si>
  <si>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</si>
  <si>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</si>
  <si>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</si>
  <si>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</si>
  <si>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</si>
  <si>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</si>
  <si>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</si>
  <si>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</si>
  <si>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</si>
  <si>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</si>
  <si>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</si>
  <si>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</si>
  <si>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</si>
  <si>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</si>
  <si>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</si>
  <si>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</si>
  <si>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</si>
  <si>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</si>
  <si>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</si>
  <si>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</si>
  <si>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</si>
  <si>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</si>
  <si>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</si>
  <si>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</si>
  <si>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</si>
  <si>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</si>
  <si>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</si>
  <si>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</si>
  <si>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</si>
  <si>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</si>
  <si>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</si>
  <si>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</si>
  <si>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</si>
  <si>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</si>
  <si>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</si>
  <si>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</si>
  <si>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</si>
  <si>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</si>
  <si>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</si>
  <si>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</si>
  <si>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</si>
  <si>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</si>
  <si>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</si>
  <si>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</si>
  <si>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</si>
  <si>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</si>
  <si>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</si>
  <si>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</si>
  <si>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</si>
  <si>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</si>
  <si>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</si>
  <si>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</si>
  <si>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</si>
  <si>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</si>
  <si>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</si>
  <si>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</si>
  <si>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</si>
  <si>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</si>
  <si>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</si>
  <si>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</si>
  <si>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</si>
  <si>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</si>
  <si>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</si>
  <si>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</si>
  <si>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</si>
  <si>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</si>
  <si>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</si>
  <si>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</si>
  <si>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</si>
  <si>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</si>
  <si>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</si>
  <si>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</si>
  <si>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</si>
  <si>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</si>
  <si>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</si>
  <si>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</si>
  <si>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</si>
  <si>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</si>
  <si>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</si>
  <si>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</si>
  <si>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</si>
  <si>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</si>
  <si>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</si>
  <si>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</si>
  <si>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</si>
  <si>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</si>
  <si>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</si>
  <si>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</si>
  <si>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</si>
  <si>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</si>
  <si>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</si>
  <si>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</si>
  <si>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</si>
  <si>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</si>
  <si>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</si>
  <si>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</si>
  <si>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</si>
  <si>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</si>
  <si>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</si>
  <si>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</si>
  <si>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</si>
  <si>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</si>
  <si>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</si>
  <si>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</si>
  <si>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</si>
  <si>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</si>
  <si>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</si>
  <si>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</si>
  <si>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</si>
  <si>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</si>
  <si>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</si>
  <si>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</si>
  <si>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</si>
  <si>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</si>
  <si>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</si>
  <si>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</si>
  <si>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</si>
  <si>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</si>
  <si>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</si>
  <si>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</si>
  <si>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</si>
  <si>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</si>
  <si>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</si>
  <si>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</si>
  <si>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</si>
  <si>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</si>
  <si>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</si>
  <si>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</si>
  <si>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</si>
  <si>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</si>
  <si>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</si>
  <si>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</si>
  <si>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</si>
  <si>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</si>
  <si>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</si>
  <si>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</si>
  <si>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</si>
  <si>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</si>
  <si>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</si>
  <si>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</si>
  <si>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</si>
  <si>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</si>
  <si>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</si>
  <si>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</si>
  <si>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</si>
  <si>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</si>
  <si>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</si>
  <si>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</si>
  <si>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</si>
  <si>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</si>
  <si>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</si>
  <si>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</si>
  <si>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</si>
  <si>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</si>
  <si>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</si>
  <si>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</si>
  <si>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</si>
  <si>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</si>
  <si>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</si>
  <si>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</si>
  <si>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</si>
  <si>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</si>
  <si>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</si>
  <si>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</si>
  <si>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</si>
  <si>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</si>
  <si>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</si>
  <si>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</si>
  <si>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</si>
  <si>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</si>
  <si>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</si>
  <si>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</si>
  <si>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</si>
  <si>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</si>
  <si>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</si>
  <si>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</si>
  <si>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</si>
  <si>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</si>
  <si>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</si>
  <si>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</si>
  <si>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</si>
  <si>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</si>
  <si>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</si>
  <si>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</si>
  <si>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</si>
  <si>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</si>
  <si>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</si>
  <si>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</si>
  <si>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</si>
  <si>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</si>
  <si>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</si>
  <si>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</si>
  <si>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</si>
  <si>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</si>
  <si>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</si>
  <si>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</si>
  <si>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</si>
  <si>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</si>
  <si>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</si>
  <si>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</si>
  <si>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</si>
  <si>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</si>
  <si>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</si>
  <si>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</si>
  <si>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</si>
  <si>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</si>
  <si>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</si>
  <si>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</si>
  <si>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</si>
  <si>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</si>
  <si>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</si>
  <si>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</si>
  <si>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</si>
  <si>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</si>
  <si>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</si>
  <si>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</si>
  <si>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</si>
  <si>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</si>
  <si>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</si>
  <si>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</si>
  <si>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</si>
  <si>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</si>
  <si>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</si>
  <si>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</si>
  <si>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</si>
  <si>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</si>
  <si>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</si>
  <si>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</si>
  <si>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</si>
  <si>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</si>
  <si>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</si>
  <si>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</si>
  <si>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</si>
  <si>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</si>
  <si>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</si>
  <si>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</si>
  <si>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</si>
  <si>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</si>
  <si>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</si>
  <si>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</si>
  <si>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</si>
  <si>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</si>
  <si>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</si>
  <si>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</si>
  <si>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</si>
  <si>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</si>
  <si>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</si>
  <si>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</si>
  <si>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</si>
  <si>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</si>
  <si>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</si>
  <si>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</si>
  <si>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</si>
  <si>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</si>
  <si>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</si>
  <si>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</si>
  <si>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</si>
  <si>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</si>
  <si>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</si>
  <si>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</si>
  <si>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</si>
  <si>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</si>
  <si>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</si>
  <si>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</si>
  <si>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</si>
  <si>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</si>
  <si>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</si>
  <si>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</si>
  <si>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</si>
  <si>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</si>
  <si>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</si>
  <si>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</si>
  <si>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</si>
  <si>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</si>
  <si>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</si>
  <si>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</si>
  <si>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</si>
  <si>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</si>
  <si>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</si>
  <si>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</si>
  <si>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</si>
  <si>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</si>
  <si>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</si>
  <si>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</si>
  <si>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</si>
  <si>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</si>
  <si>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</si>
  <si>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</si>
  <si>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</si>
  <si>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</si>
  <si>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</si>
  <si>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</si>
  <si>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</si>
  <si>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</si>
  <si>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</si>
  <si>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</si>
  <si>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</si>
  <si>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</si>
  <si>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</si>
  <si>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</si>
  <si>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</si>
  <si>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</si>
  <si>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</si>
  <si>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</si>
  <si>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</si>
  <si>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</si>
  <si>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</si>
  <si>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</si>
  <si>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</si>
  <si>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</si>
  <si>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</si>
  <si>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</si>
  <si>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</si>
  <si>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</si>
  <si>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</si>
  <si>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</si>
  <si>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</si>
  <si>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</si>
  <si>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</si>
  <si>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</si>
  <si>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</si>
  <si>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</si>
  <si>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</si>
  <si>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</si>
  <si>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</si>
  <si>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</si>
  <si>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</si>
  <si>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</si>
  <si>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</si>
  <si>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</si>
  <si>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</si>
  <si>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</si>
  <si>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</si>
  <si>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</si>
  <si>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</si>
  <si>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</si>
  <si>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</si>
  <si>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</si>
  <si>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</si>
  <si>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</si>
  <si>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</si>
  <si>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</si>
  <si>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</si>
  <si>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</si>
  <si>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</si>
  <si>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</si>
  <si>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</si>
  <si>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</si>
  <si>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</si>
  <si>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</si>
  <si>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</si>
  <si>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</si>
  <si>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</si>
  <si>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</si>
  <si>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</si>
  <si>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</si>
  <si>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</si>
  <si>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</si>
  <si>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</si>
  <si>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</si>
  <si>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</si>
  <si>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</si>
  <si>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</si>
  <si>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</si>
  <si>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</si>
  <si>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</si>
  <si>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</si>
  <si>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</si>
  <si>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</si>
  <si>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</si>
  <si>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</si>
  <si>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</si>
  <si>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</si>
  <si>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</si>
  <si>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</si>
  <si>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</si>
  <si>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</si>
  <si>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</si>
  <si>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</si>
  <si>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</si>
  <si>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</si>
  <si>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</si>
  <si>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</si>
  <si>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</si>
  <si>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</si>
  <si>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</si>
  <si>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</si>
  <si>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</si>
  <si>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</si>
  <si>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</si>
  <si>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</si>
  <si>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</si>
  <si>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</si>
  <si>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</si>
  <si>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</si>
  <si>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</si>
  <si>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</si>
  <si>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</si>
  <si>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</si>
  <si>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</si>
  <si>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</si>
  <si>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</si>
  <si>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</si>
  <si>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</si>
  <si>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</si>
  <si>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</si>
  <si>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</si>
  <si>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</si>
  <si>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</si>
  <si>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</si>
  <si>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</si>
  <si>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</si>
  <si>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</si>
  <si>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</si>
  <si>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</si>
  <si>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</si>
  <si>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</si>
  <si>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</si>
  <si>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</si>
  <si>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</si>
  <si>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</si>
  <si>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</si>
  <si>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</si>
  <si>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</si>
  <si>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</si>
  <si>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</si>
  <si>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</si>
  <si>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</si>
  <si>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</si>
  <si>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</si>
  <si>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</si>
  <si>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</si>
  <si>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</si>
  <si>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</si>
  <si>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</si>
  <si>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</si>
  <si>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</si>
  <si>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</si>
  <si>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</si>
  <si>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</si>
  <si>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</si>
  <si>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</si>
  <si>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</si>
  <si>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</si>
  <si>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</si>
  <si>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</si>
  <si>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</si>
  <si>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</si>
  <si>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</si>
  <si>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</si>
  <si>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</si>
  <si>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</si>
  <si>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</si>
  <si>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</si>
  <si>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</si>
  <si>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</si>
  <si>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</si>
  <si>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</si>
  <si>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</si>
  <si>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</si>
  <si>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</si>
  <si>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</si>
  <si>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</si>
  <si>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</si>
  <si>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</si>
  <si>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</si>
  <si>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</si>
  <si>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</si>
  <si>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</si>
  <si>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</si>
  <si>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</si>
  <si>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</si>
  <si>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</si>
  <si>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</si>
  <si>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</si>
  <si>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</si>
  <si>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</si>
  <si>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</si>
  <si>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</si>
  <si>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</si>
  <si>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</si>
  <si>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</si>
  <si>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</si>
  <si>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</si>
  <si>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</si>
  <si>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</si>
  <si>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</si>
  <si>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</si>
  <si>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</si>
  <si>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</si>
  <si>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</si>
  <si>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</si>
  <si>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</si>
  <si>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</si>
  <si>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</si>
  <si>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</si>
  <si>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</si>
  <si>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</si>
  <si>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</si>
  <si>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</si>
  <si>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</si>
  <si>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</si>
  <si>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</si>
  <si>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</si>
  <si>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</si>
  <si>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</si>
  <si>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</si>
  <si>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</si>
  <si>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</si>
  <si>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</si>
  <si>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</si>
  <si>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</si>
  <si>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</si>
  <si>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</si>
  <si>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</si>
  <si>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</si>
  <si>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</si>
  <si>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</si>
  <si>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</si>
  <si>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</si>
  <si>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</si>
  <si>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</si>
  <si>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</si>
  <si>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</si>
  <si>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</si>
  <si>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</si>
  <si>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</si>
  <si>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</si>
  <si>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</si>
  <si>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</si>
  <si>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</si>
  <si>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</si>
  <si>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</si>
  <si>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</si>
  <si>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</si>
  <si>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</si>
  <si>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</si>
  <si>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</si>
  <si>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</si>
  <si>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</si>
  <si>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</si>
  <si>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</si>
  <si>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</si>
  <si>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</si>
  <si>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</si>
  <si>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</si>
  <si>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</si>
  <si>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</si>
  <si>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</si>
  <si>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</si>
  <si>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</si>
  <si>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</si>
  <si>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</si>
  <si>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</si>
  <si>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</si>
  <si>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</si>
  <si>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</si>
  <si>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</si>
  <si>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</si>
  <si>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</si>
  <si>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</si>
  <si>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</si>
  <si>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</si>
  <si>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</si>
  <si>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</si>
  <si>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</si>
  <si>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</si>
  <si>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</si>
  <si>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</si>
  <si>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</si>
  <si>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</si>
  <si>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</si>
  <si>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</si>
  <si>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</si>
  <si>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</si>
  <si>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</si>
  <si>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</si>
  <si>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</si>
  <si>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</si>
  <si>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</si>
  <si>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</si>
  <si>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</si>
  <si>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</si>
  <si>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</si>
  <si>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</si>
  <si>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</si>
  <si>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</si>
  <si>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</si>
  <si>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</si>
  <si>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</si>
  <si>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</si>
  <si>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</si>
  <si>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</si>
  <si>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</si>
  <si>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</si>
  <si>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</si>
  <si>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</si>
  <si>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</si>
  <si>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</si>
  <si>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</si>
  <si>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</si>
  <si>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</si>
  <si>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</si>
  <si>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</si>
  <si>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</si>
  <si>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</si>
  <si>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</si>
  <si>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</si>
  <si>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</si>
  <si>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</si>
  <si>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</si>
  <si>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</si>
  <si>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</si>
  <si>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</si>
  <si>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</si>
  <si>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</si>
  <si>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</si>
  <si>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</si>
  <si>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</si>
  <si>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</si>
  <si>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</si>
  <si>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</si>
  <si>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</si>
  <si>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</si>
  <si>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</si>
  <si>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</si>
  <si>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</si>
  <si>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</si>
  <si>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</si>
  <si>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</si>
  <si>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</si>
  <si>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</si>
  <si>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</si>
  <si>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</si>
  <si>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</si>
  <si>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</si>
  <si>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</si>
  <si>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</si>
  <si>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</si>
  <si>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</si>
  <si>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</si>
  <si>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</si>
  <si>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</si>
  <si>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</si>
  <si>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</si>
  <si>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</si>
  <si>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</si>
  <si>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</si>
  <si>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</si>
  <si>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</si>
  <si>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</si>
  <si>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</si>
  <si>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</si>
  <si>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</si>
  <si>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</si>
  <si>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</si>
  <si>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</si>
  <si>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</si>
  <si>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</si>
  <si>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</si>
  <si>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</si>
  <si>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</si>
  <si>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</si>
  <si>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</si>
  <si>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</si>
  <si>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</si>
  <si>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</si>
  <si>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</si>
  <si>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</si>
  <si>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</si>
  <si>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</si>
  <si>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</si>
  <si>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</si>
  <si>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</si>
  <si>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</si>
  <si>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</si>
  <si>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</si>
  <si>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</si>
  <si>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</si>
  <si>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</si>
  <si>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</si>
  <si>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</si>
  <si>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</si>
  <si>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</si>
  <si>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</si>
  <si>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</si>
  <si>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</si>
  <si>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</si>
  <si>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</si>
  <si>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</si>
  <si>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</si>
  <si>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</si>
  <si>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</si>
  <si>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</si>
  <si>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</si>
  <si>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</si>
  <si>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</si>
  <si>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</si>
  <si>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</si>
  <si>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</si>
  <si>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</si>
  <si>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</si>
  <si>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</si>
  <si>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</si>
  <si>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</si>
  <si>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</si>
  <si>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</si>
  <si>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</si>
  <si>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</si>
  <si>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</si>
  <si>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</si>
  <si>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</si>
  <si>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</si>
  <si>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</si>
  <si>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</si>
  <si>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</si>
  <si>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</si>
  <si>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</si>
  <si>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</si>
  <si>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</si>
  <si>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</si>
  <si>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</si>
  <si>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</si>
  <si>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</si>
  <si>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</si>
  <si>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</si>
  <si>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</si>
  <si>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</si>
  <si>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</si>
  <si>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</si>
  <si>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</si>
  <si>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</si>
  <si>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</si>
  <si>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</si>
  <si>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</si>
  <si>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</si>
  <si>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</si>
  <si>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</si>
  <si>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</si>
  <si>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</si>
  <si>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</si>
  <si>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</si>
  <si>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</si>
  <si>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</si>
  <si>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</si>
  <si>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</si>
  <si>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</si>
  <si>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</si>
  <si>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</si>
  <si>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</si>
  <si>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</si>
  <si>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</si>
  <si>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</si>
  <si>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</si>
  <si>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</si>
  <si>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</si>
  <si>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</si>
  <si>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</si>
  <si>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</si>
  <si>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</si>
  <si>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</si>
  <si>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</si>
  <si>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</si>
  <si>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</si>
  <si>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</si>
  <si>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</si>
  <si>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</si>
  <si>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</si>
  <si>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</si>
  <si>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</si>
  <si>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</si>
  <si>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</si>
  <si>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</si>
  <si>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</si>
  <si>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</si>
  <si>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</si>
  <si>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</si>
  <si>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</si>
  <si>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</si>
  <si>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</si>
  <si>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</si>
  <si>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</si>
  <si>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</si>
  <si>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</si>
  <si>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</si>
  <si>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</si>
  <si>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</si>
  <si>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</si>
  <si>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</si>
  <si>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</si>
  <si>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</si>
  <si>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</si>
  <si>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</si>
  <si>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</si>
  <si>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</si>
  <si>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</si>
  <si>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</si>
  <si>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</si>
  <si>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</si>
  <si>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</si>
  <si>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</si>
  <si>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</si>
  <si>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</si>
  <si>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</si>
  <si>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</si>
  <si>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</si>
  <si>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</si>
  <si>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</si>
  <si>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</si>
  <si>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</si>
  <si>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</si>
  <si>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</si>
  <si>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</si>
  <si>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</si>
  <si>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</si>
  <si>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</si>
  <si>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</si>
  <si>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</si>
  <si>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</si>
  <si>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</si>
  <si>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</si>
  <si>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</si>
  <si>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</si>
  <si>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</si>
  <si>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</si>
  <si>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</si>
  <si>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</si>
  <si>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</si>
  <si>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</si>
  <si>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</si>
  <si>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</si>
  <si>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</si>
  <si>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</si>
  <si>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</si>
  <si>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</si>
  <si>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</si>
  <si>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</si>
  <si>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</si>
  <si>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</si>
  <si>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</si>
  <si>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</si>
  <si>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</si>
  <si>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</si>
  <si>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</si>
  <si>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</si>
  <si>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</si>
  <si>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</si>
  <si>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</si>
  <si>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</si>
  <si>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</si>
  <si>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</si>
  <si>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</si>
  <si>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</si>
  <si>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</si>
  <si>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</si>
  <si>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</si>
  <si>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</si>
  <si>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</si>
  <si>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</si>
  <si>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</si>
  <si>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</si>
  <si>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</si>
  <si>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</si>
  <si>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</si>
  <si>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</si>
  <si>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</si>
  <si>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</si>
  <si>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</si>
  <si>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</si>
  <si>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</si>
  <si>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</si>
  <si>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</si>
  <si>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</si>
  <si>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</si>
  <si>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</si>
  <si>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</si>
  <si>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</si>
  <si>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</si>
  <si>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</si>
  <si>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</si>
  <si>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</si>
  <si>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</si>
  <si>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</si>
  <si>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</si>
  <si>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</si>
  <si>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</si>
  <si>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</si>
  <si>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</si>
  <si>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</si>
  <si>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</si>
  <si>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</si>
  <si>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</si>
  <si>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</si>
  <si>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</si>
  <si>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</si>
  <si>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</si>
  <si>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</si>
  <si>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</si>
  <si>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</si>
  <si>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</si>
  <si>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</si>
  <si>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</si>
  <si>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</si>
  <si>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</si>
  <si>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</si>
  <si>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</si>
  <si>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</si>
  <si>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</si>
  <si>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</si>
  <si>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</si>
  <si>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</si>
  <si>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</si>
  <si>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</si>
  <si>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</si>
  <si>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</si>
  <si>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</si>
  <si>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</si>
  <si>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</si>
  <si>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</si>
  <si>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</si>
  <si>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</si>
  <si>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</si>
  <si>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</si>
  <si>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</si>
  <si>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</si>
  <si>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</si>
  <si>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</si>
  <si>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</si>
  <si>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</si>
  <si>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</si>
  <si>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</si>
  <si>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</si>
  <si>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</si>
  <si>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</si>
  <si>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</si>
  <si>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</si>
  <si>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</si>
  <si>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</si>
  <si>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</si>
  <si>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</si>
  <si>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</si>
  <si>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</si>
  <si>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</si>
  <si>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</si>
  <si>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</si>
  <si>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</si>
  <si>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</si>
  <si>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</si>
  <si>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</si>
  <si>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</si>
  <si>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</si>
  <si>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</si>
  <si>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</si>
  <si>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</si>
  <si>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</si>
  <si>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</si>
  <si>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</si>
  <si>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</si>
  <si>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</si>
  <si>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</si>
  <si>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</si>
  <si>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</si>
  <si>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</si>
  <si>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</si>
  <si>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</si>
  <si>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</si>
  <si>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</si>
  <si>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</si>
  <si>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</si>
  <si>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</si>
  <si>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</si>
  <si>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</si>
  <si>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</si>
  <si>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</si>
  <si>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</si>
  <si>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</si>
  <si>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</si>
  <si>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</si>
  <si>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</si>
  <si>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</si>
  <si>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</si>
  <si>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</si>
  <si>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</si>
  <si>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</si>
  <si>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</si>
  <si>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</si>
  <si>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</si>
  <si>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</si>
  <si>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</si>
  <si>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</si>
  <si>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</si>
  <si>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</si>
  <si>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</si>
  <si>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</si>
  <si>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</si>
  <si>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</si>
  <si>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</si>
  <si>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</si>
  <si>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</si>
  <si>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</si>
  <si>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</si>
  <si>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</si>
  <si>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</si>
  <si>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</si>
  <si>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</si>
  <si>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</si>
  <si>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</si>
  <si>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</si>
  <si>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</si>
  <si>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</si>
  <si>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</si>
  <si>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</si>
  <si>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</si>
  <si>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</si>
  <si>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</si>
  <si>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</si>
  <si>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</si>
  <si>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</si>
  <si>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</si>
  <si>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</si>
  <si>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</si>
  <si>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</si>
  <si>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</si>
  <si>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</si>
  <si>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</si>
  <si>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</si>
  <si>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</si>
  <si>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</si>
  <si>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</si>
  <si>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</si>
  <si>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</si>
  <si>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</si>
  <si>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</si>
  <si>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</si>
  <si>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</si>
  <si>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</si>
  <si>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</si>
  <si>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</si>
  <si>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</si>
  <si>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</si>
  <si>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</si>
  <si>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</si>
  <si>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</si>
  <si>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</si>
  <si>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</si>
  <si>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</si>
  <si>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</si>
  <si>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</si>
  <si>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</si>
  <si>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</si>
  <si>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</si>
  <si>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</si>
  <si>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</si>
  <si>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</si>
  <si>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</si>
  <si>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</si>
  <si>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</si>
  <si>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</si>
  <si>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</si>
  <si>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</si>
  <si>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</si>
  <si>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</si>
  <si>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</si>
  <si>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</si>
  <si>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</si>
  <si>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</si>
  <si>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</si>
  <si>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</si>
  <si>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</si>
  <si>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</si>
  <si>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</si>
  <si>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</si>
  <si>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</si>
  <si>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</si>
  <si>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</si>
  <si>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</si>
  <si>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</si>
  <si>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</si>
  <si>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</si>
  <si>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</si>
  <si>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</si>
  <si>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</si>
  <si>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</si>
  <si>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</si>
  <si>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</si>
  <si>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</si>
  <si>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</si>
  <si>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</si>
  <si>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</si>
  <si>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</si>
  <si>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</si>
  <si>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</si>
  <si>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</si>
  <si>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</si>
  <si>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</si>
  <si>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</si>
  <si>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</si>
  <si>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</si>
  <si>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</si>
  <si>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</si>
  <si>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</si>
  <si>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</si>
  <si>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</si>
  <si>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</si>
  <si>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</si>
  <si>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</si>
  <si>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</si>
  <si>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</si>
  <si>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</si>
  <si>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</si>
  <si>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</si>
  <si>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</si>
  <si>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</si>
  <si>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</si>
  <si>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</si>
  <si>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</si>
  <si>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</si>
  <si>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</si>
  <si>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</si>
  <si>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</si>
  <si>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</si>
  <si>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</si>
  <si>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</si>
  <si>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</si>
  <si>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</si>
  <si>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</si>
  <si>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</si>
  <si>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</si>
  <si>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</si>
  <si>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</si>
  <si>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</si>
  <si>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</si>
  <si>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</si>
  <si>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</si>
  <si>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</si>
  <si>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</si>
  <si>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</si>
  <si>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</si>
  <si>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</si>
  <si>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</si>
  <si>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</si>
  <si>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</si>
  <si>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</si>
  <si>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</si>
  <si>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</si>
  <si>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</si>
  <si>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</si>
  <si>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</si>
  <si>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</si>
  <si>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</si>
  <si>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</si>
  <si>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</si>
  <si>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</si>
  <si>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</si>
  <si>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</si>
  <si>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</si>
  <si>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</si>
  <si>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</si>
  <si>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</si>
  <si>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</si>
  <si>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</si>
  <si>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</si>
  <si>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</si>
  <si>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</si>
  <si>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</si>
  <si>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</si>
  <si>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</si>
  <si>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</si>
  <si>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</si>
  <si>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</si>
  <si>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</si>
  <si>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</si>
  <si>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</si>
  <si>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</si>
  <si>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</si>
  <si>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</si>
  <si>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</si>
  <si>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</si>
  <si>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</si>
  <si>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</si>
  <si>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</si>
  <si>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</si>
  <si>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</si>
  <si>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</si>
  <si>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</si>
  <si>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</si>
  <si>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</si>
  <si>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</si>
  <si>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</si>
  <si>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</si>
  <si>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</si>
  <si>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</si>
  <si>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</si>
  <si>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</si>
  <si>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</si>
  <si>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</si>
  <si>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</si>
  <si>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</si>
  <si>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</si>
  <si>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</si>
  <si>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</si>
  <si>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</si>
  <si>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</si>
  <si>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</si>
  <si>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</si>
  <si>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</si>
  <si>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</si>
  <si>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</si>
  <si>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</si>
  <si>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</si>
  <si>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</si>
  <si>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</si>
  <si>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</si>
  <si>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</si>
  <si>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</si>
  <si>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</si>
  <si>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</si>
  <si>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</si>
  <si>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</si>
  <si>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</si>
  <si>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</si>
  <si>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</si>
  <si>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</si>
  <si>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</si>
  <si>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</si>
  <si>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</si>
  <si>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</si>
  <si>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</si>
  <si>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</si>
  <si>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</si>
  <si>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</si>
  <si>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</si>
  <si>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</si>
  <si>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</si>
  <si>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</si>
  <si>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</si>
  <si>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</si>
  <si>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</si>
  <si>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</si>
  <si>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</si>
  <si>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</si>
  <si>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</si>
  <si>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</si>
  <si>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</si>
  <si>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</si>
  <si>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</si>
  <si>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</si>
  <si>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</si>
  <si>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</si>
  <si>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</si>
  <si>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</si>
  <si>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</si>
  <si>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</si>
  <si>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</si>
  <si>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</si>
  <si>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</si>
  <si>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</si>
  <si>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</si>
  <si>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</si>
  <si>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</si>
  <si>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</si>
  <si>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</si>
  <si>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</si>
  <si>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</si>
  <si>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</si>
  <si>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</si>
  <si>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</si>
  <si>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</si>
  <si>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</si>
  <si>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</si>
  <si>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</si>
  <si>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</si>
  <si>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</si>
  <si>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</si>
  <si>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</si>
  <si>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</si>
  <si>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</si>
  <si>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</si>
  <si>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</si>
  <si>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</si>
  <si>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</si>
  <si>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</si>
  <si>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</si>
  <si>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</si>
  <si>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</si>
  <si>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</si>
  <si>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</si>
  <si>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</si>
  <si>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</si>
  <si>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</si>
  <si>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</si>
  <si>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</si>
  <si>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</si>
  <si>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</si>
  <si>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</si>
  <si>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</si>
  <si>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</si>
  <si>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</si>
  <si>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</si>
  <si>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</si>
  <si>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</si>
  <si>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</si>
  <si>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</si>
  <si>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</si>
  <si>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</si>
  <si>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</si>
  <si>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</si>
  <si>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</si>
  <si>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</si>
  <si>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</si>
  <si>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</si>
  <si>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</si>
  <si>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</si>
  <si>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</si>
  <si>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</si>
  <si>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</si>
  <si>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</si>
  <si>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</si>
  <si>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</si>
  <si>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</si>
  <si>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</si>
  <si>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</si>
  <si>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</si>
  <si>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</si>
  <si>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</si>
  <si>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</si>
  <si>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</si>
  <si>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</si>
  <si>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</si>
  <si>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</si>
  <si>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</si>
  <si>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</si>
  <si>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</si>
  <si>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</si>
  <si>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</si>
  <si>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</si>
  <si>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</si>
  <si>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</si>
  <si>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</si>
  <si>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</si>
  <si>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</si>
  <si>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</si>
  <si>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</si>
  <si>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</si>
  <si>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</si>
  <si>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</si>
  <si>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</si>
  <si>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</si>
  <si>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</si>
  <si>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</si>
  <si>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</si>
  <si>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</si>
  <si>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</si>
  <si>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</si>
  <si>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</si>
  <si>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</si>
  <si>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</si>
  <si>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</si>
  <si>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</si>
  <si>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</si>
  <si>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</si>
  <si>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</si>
  <si>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</si>
  <si>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</si>
  <si>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</si>
  <si>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</si>
  <si>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</si>
  <si>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</si>
  <si>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</si>
  <si>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</si>
  <si>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</si>
  <si>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</si>
  <si>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</si>
  <si>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</si>
  <si>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</si>
  <si>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</si>
  <si>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</si>
  <si>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</si>
  <si>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</si>
  <si>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</si>
  <si>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</si>
  <si>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</si>
  <si>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</si>
  <si>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</si>
  <si>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</si>
  <si>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</si>
  <si>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</si>
  <si>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</si>
  <si>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</si>
  <si>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</si>
  <si>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</si>
  <si>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</si>
  <si>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</si>
  <si>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</si>
  <si>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</si>
  <si>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</si>
  <si>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</si>
  <si>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</si>
  <si>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</si>
  <si>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</si>
  <si>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</si>
  <si>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</si>
  <si>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</si>
  <si>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</si>
  <si>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</si>
  <si>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</si>
  <si>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</si>
  <si>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</si>
  <si>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</si>
  <si>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</si>
  <si>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</si>
  <si>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</si>
  <si>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</si>
  <si>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</si>
  <si>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</si>
  <si>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</si>
  <si>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</si>
  <si>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</si>
  <si>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</si>
  <si>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</si>
  <si>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</si>
  <si>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</si>
  <si>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</si>
  <si>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</si>
  <si>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</si>
  <si>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</si>
  <si>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</si>
  <si>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</si>
  <si>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</si>
  <si>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</si>
  <si>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</si>
  <si>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</si>
  <si>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</si>
  <si>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</si>
  <si>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</si>
  <si>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</si>
  <si>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</si>
  <si>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</si>
  <si>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</si>
  <si>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</si>
  <si>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</si>
  <si>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</si>
  <si>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</si>
  <si>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</si>
  <si>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</si>
  <si>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</si>
  <si>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</si>
  <si>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</si>
  <si>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</si>
  <si>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</si>
  <si>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</si>
  <si>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</si>
  <si>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</si>
  <si>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</si>
  <si>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</si>
  <si>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</si>
  <si>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</si>
  <si>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</si>
  <si>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</si>
  <si>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</si>
  <si>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</si>
  <si>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</si>
  <si>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</si>
  <si>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</si>
  <si>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</si>
  <si>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</si>
  <si>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</si>
  <si>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</si>
  <si>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</si>
  <si>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</si>
  <si>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</si>
  <si>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</si>
  <si>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</si>
  <si>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</si>
  <si>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</si>
  <si>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</si>
  <si>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</si>
  <si>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</si>
  <si>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</si>
  <si>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</si>
  <si>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</si>
  <si>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</si>
  <si>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</si>
  <si>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</si>
  <si>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</si>
  <si>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</si>
  <si>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</si>
  <si>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</si>
  <si>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</si>
  <si>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</si>
  <si>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</si>
  <si>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</si>
  <si>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</si>
  <si>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</si>
  <si>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</si>
  <si>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</si>
  <si>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</si>
  <si>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</si>
  <si>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</si>
  <si>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</si>
  <si>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</si>
  <si>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</si>
  <si>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</si>
  <si>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</si>
  <si>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</si>
  <si>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</si>
  <si>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</si>
  <si>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</si>
  <si>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</si>
  <si>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</si>
  <si>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</si>
  <si>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</si>
  <si>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</si>
  <si>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</si>
  <si>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</si>
  <si>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</si>
  <si>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</si>
  <si>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</si>
  <si>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</si>
  <si>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</si>
  <si>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</si>
  <si>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</si>
  <si>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</si>
  <si>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</si>
  <si>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</si>
  <si>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</si>
  <si>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</si>
  <si>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</si>
  <si>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</si>
  <si>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</si>
  <si>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</si>
  <si>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</si>
  <si>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</si>
  <si>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</si>
  <si>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</si>
  <si>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</si>
  <si>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</si>
  <si>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</si>
  <si>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</si>
  <si>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</si>
  <si>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</si>
  <si>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</si>
  <si>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</si>
  <si>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</si>
  <si>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</si>
  <si>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</si>
  <si>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</si>
  <si>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</si>
  <si>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</si>
  <si>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</si>
  <si>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</si>
  <si>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</si>
  <si>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</si>
  <si>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</si>
  <si>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</si>
  <si>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</si>
  <si>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</si>
  <si>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</si>
  <si>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</si>
  <si>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</si>
  <si>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</si>
  <si>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</si>
  <si>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</si>
  <si>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</si>
  <si>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</si>
  <si>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</si>
  <si>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</si>
  <si>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</si>
  <si>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</si>
  <si>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</si>
  <si>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</si>
  <si>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</si>
  <si>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</si>
  <si>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</si>
  <si>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</si>
  <si>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</si>
  <si>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</si>
  <si>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</si>
  <si>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</si>
  <si>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</si>
  <si>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</si>
  <si>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</si>
  <si>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</si>
  <si>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</si>
  <si>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</si>
  <si>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</si>
  <si>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</si>
  <si>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</si>
  <si>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</si>
  <si>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</si>
  <si>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</si>
  <si>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</si>
  <si>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</si>
  <si>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</si>
  <si>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</si>
  <si>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</si>
  <si>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</si>
  <si>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</si>
  <si>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</si>
  <si>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</si>
  <si>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</si>
  <si>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</si>
  <si>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</si>
  <si>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</si>
  <si>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</si>
  <si>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</si>
  <si>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</si>
  <si>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</si>
  <si>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</si>
  <si>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</si>
  <si>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</si>
  <si>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</si>
  <si>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</si>
  <si>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</si>
  <si>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</si>
  <si>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</si>
  <si>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</si>
  <si>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</si>
  <si>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</si>
  <si>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</si>
  <si>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</si>
  <si>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</si>
  <si>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</si>
  <si>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</si>
  <si>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</si>
  <si>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</si>
  <si>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</si>
  <si>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</si>
  <si>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</si>
  <si>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</si>
  <si>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</si>
  <si>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</si>
  <si>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</si>
  <si>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</si>
  <si>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</si>
  <si>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</si>
  <si>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</si>
  <si>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</si>
  <si>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</si>
  <si>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</si>
  <si>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</si>
  <si>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</si>
  <si>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</si>
  <si>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</si>
  <si>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</si>
  <si>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</si>
  <si>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</si>
  <si>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</si>
  <si>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</si>
  <si>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</si>
  <si>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</si>
  <si>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</si>
  <si>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</si>
  <si>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</si>
  <si>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</si>
  <si>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</si>
  <si>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</si>
  <si>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</si>
  <si>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</si>
  <si>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</si>
  <si>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</si>
  <si>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</si>
  <si>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</si>
  <si>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</si>
  <si>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</si>
  <si>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</si>
  <si>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</si>
  <si>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</si>
  <si>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</si>
  <si>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</si>
  <si>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</si>
  <si>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</si>
  <si>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</si>
  <si>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</si>
  <si>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</si>
  <si>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</si>
  <si>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</si>
  <si>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</si>
  <si>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</si>
  <si>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</si>
  <si>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</si>
  <si>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</si>
  <si>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</si>
  <si>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</si>
  <si>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</si>
  <si>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</si>
  <si>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</si>
  <si>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</si>
  <si>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</si>
  <si>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</si>
  <si>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</si>
  <si>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</si>
  <si>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</si>
  <si>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</si>
  <si>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</si>
  <si>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</si>
  <si>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</si>
  <si>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</si>
  <si>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</si>
  <si>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</si>
  <si>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</si>
  <si>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</si>
  <si>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</si>
  <si>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</si>
  <si>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</si>
  <si>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</si>
  <si>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</si>
  <si>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</si>
  <si>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</si>
  <si>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</si>
  <si>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</si>
  <si>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</si>
  <si>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</si>
  <si>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</si>
  <si>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</si>
  <si>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</si>
  <si>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</si>
  <si>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</si>
  <si>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</si>
  <si>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</si>
  <si>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</si>
  <si>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</si>
  <si>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</si>
  <si>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</si>
  <si>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</si>
  <si>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</si>
  <si>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</si>
  <si>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</si>
  <si>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</si>
  <si>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</si>
  <si>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</si>
  <si>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</si>
  <si>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</si>
  <si>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</si>
  <si>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</si>
  <si>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</si>
  <si>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</si>
  <si>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</si>
  <si>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</si>
  <si>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</si>
  <si>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</si>
  <si>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</si>
  <si>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</si>
  <si>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</si>
  <si>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</si>
  <si>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</si>
  <si>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</si>
  <si>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</si>
  <si>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</si>
  <si>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</si>
  <si>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</si>
  <si>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</si>
  <si>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</si>
  <si>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</si>
  <si>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</si>
  <si>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</si>
  <si>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</si>
  <si>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</si>
  <si>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</si>
  <si>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</si>
  <si>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</si>
  <si>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</si>
  <si>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</si>
  <si>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</si>
  <si>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</si>
  <si>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</si>
  <si>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</si>
  <si>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</si>
  <si>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</si>
  <si>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</si>
  <si>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</si>
  <si>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</si>
  <si>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</si>
  <si>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</si>
  <si>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</si>
  <si>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</si>
  <si>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</si>
  <si>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</si>
  <si>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</si>
  <si>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</si>
  <si>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</si>
  <si>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</si>
  <si>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</si>
  <si>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</si>
  <si>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</si>
  <si>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</si>
  <si>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</si>
  <si>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</si>
  <si>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</si>
  <si>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</si>
  <si>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</si>
  <si>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</si>
  <si>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</si>
  <si>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</si>
  <si>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</si>
  <si>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</si>
  <si>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</si>
  <si>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</si>
  <si>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</si>
  <si>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</si>
  <si>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</si>
  <si>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</si>
  <si>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</si>
  <si>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</si>
  <si>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</si>
  <si>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</si>
  <si>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</si>
  <si>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</si>
  <si>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</si>
  <si>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</si>
  <si>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</si>
  <si>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</si>
  <si>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</si>
  <si>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</si>
  <si>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</si>
  <si>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</si>
  <si>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</si>
  <si>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</si>
  <si>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</si>
  <si>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</si>
  <si>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</si>
  <si>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</si>
  <si>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</si>
  <si>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</si>
  <si>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</si>
  <si>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</si>
  <si>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</si>
  <si>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</si>
  <si>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</si>
  <si>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</si>
  <si>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</si>
  <si>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</si>
  <si>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</si>
  <si>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</si>
  <si>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</si>
  <si>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</si>
  <si>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</si>
  <si>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</si>
  <si>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</si>
  <si>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</si>
  <si>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</si>
  <si>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</si>
  <si>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</si>
  <si>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</si>
  <si>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</si>
  <si>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</si>
  <si>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</si>
  <si>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</si>
  <si>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</si>
  <si>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</si>
  <si>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</si>
  <si>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</si>
  <si>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</si>
  <si>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</si>
  <si>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</si>
  <si>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</si>
  <si>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</si>
  <si>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</si>
  <si>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</si>
  <si>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</si>
  <si>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</si>
  <si>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</si>
  <si>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</si>
  <si>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</si>
  <si>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</si>
  <si>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</si>
  <si>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</si>
  <si>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</si>
  <si>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</si>
  <si>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</si>
  <si>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</si>
  <si>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</si>
  <si>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</si>
  <si>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</si>
  <si>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</si>
  <si>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</si>
  <si>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</si>
  <si>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</si>
  <si>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</si>
  <si>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</si>
  <si>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</si>
  <si>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</si>
  <si>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</si>
  <si>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</si>
  <si>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</si>
  <si>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</si>
  <si>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</si>
  <si>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</si>
  <si>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</si>
  <si>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</si>
  <si>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</si>
  <si>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</si>
  <si>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</si>
  <si>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</si>
  <si>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</si>
  <si>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</si>
  <si>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</si>
  <si>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</si>
  <si>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</si>
  <si>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</si>
  <si>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</si>
  <si>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</si>
  <si>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</si>
  <si>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</si>
  <si>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</si>
  <si>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</si>
  <si>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</si>
  <si>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</si>
  <si>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</si>
  <si>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</si>
  <si>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</si>
  <si>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</si>
  <si>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</si>
  <si>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</si>
  <si>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</si>
  <si>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</si>
  <si>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</si>
  <si>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</si>
  <si>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</si>
  <si>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</si>
  <si>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</si>
  <si>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</si>
  <si>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</si>
  <si>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</si>
  <si>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</si>
  <si>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</si>
  <si>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</si>
  <si>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</si>
  <si>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</si>
  <si>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</si>
  <si>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</si>
  <si>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</si>
  <si>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</si>
  <si>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</si>
  <si>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</si>
  <si>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</si>
  <si>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</si>
  <si>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</si>
  <si>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</si>
  <si>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</si>
  <si>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</si>
  <si>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</si>
  <si>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</si>
  <si>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</si>
  <si>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</si>
  <si>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</si>
  <si>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</si>
  <si>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</si>
  <si>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</si>
  <si>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</si>
  <si>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</si>
  <si>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</si>
  <si>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</si>
  <si>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</si>
  <si>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</si>
  <si>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</si>
  <si>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</si>
  <si>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</si>
  <si>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</si>
  <si>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</si>
  <si>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</si>
  <si>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</si>
  <si>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</si>
  <si>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</si>
  <si>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</si>
  <si>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</si>
  <si>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</si>
  <si>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</si>
  <si>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</si>
  <si>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</si>
  <si>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</si>
  <si>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</si>
  <si>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</si>
  <si>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</si>
  <si>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</si>
  <si>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</si>
  <si>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</si>
  <si>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</si>
  <si>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</si>
  <si>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</si>
  <si>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</si>
  <si>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</si>
  <si>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</si>
  <si>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</si>
  <si>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</si>
  <si>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</si>
  <si>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</si>
  <si>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</si>
  <si>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</si>
  <si>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</si>
  <si>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</si>
  <si>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</si>
  <si>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</si>
  <si>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</si>
  <si>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</si>
  <si>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</si>
  <si>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</si>
  <si>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</si>
  <si>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</si>
  <si>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</si>
  <si>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</si>
  <si>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</si>
  <si>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</si>
  <si>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</si>
  <si>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</si>
  <si>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</si>
  <si>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</si>
  <si>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</si>
  <si>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</si>
  <si>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</si>
  <si>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</si>
  <si>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</si>
  <si>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</si>
  <si>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</si>
  <si>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</si>
  <si>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</si>
  <si>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</si>
  <si>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</si>
  <si>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</si>
  <si>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</si>
  <si>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</si>
  <si>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</si>
  <si>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</si>
  <si>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</si>
  <si>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</si>
  <si>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</si>
  <si>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</si>
  <si>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</si>
  <si>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</si>
  <si>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</si>
  <si>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</si>
  <si>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</si>
  <si>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</si>
  <si>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</si>
  <si>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</si>
  <si>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</si>
  <si>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</si>
  <si>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</si>
  <si>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</si>
  <si>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</si>
  <si>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</si>
  <si>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</si>
  <si>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</si>
  <si>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</si>
  <si>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</si>
  <si>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</si>
  <si>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</si>
  <si>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</si>
  <si>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</si>
  <si>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</si>
  <si>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</si>
  <si>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</si>
  <si>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</si>
  <si>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</si>
  <si>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</si>
  <si>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</si>
  <si>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</si>
  <si>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</si>
  <si>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</si>
  <si>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</si>
  <si>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</si>
  <si>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</si>
  <si>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</si>
  <si>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</si>
  <si>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</si>
  <si>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</si>
  <si>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</si>
  <si>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</si>
  <si>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</si>
  <si>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</si>
  <si>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</si>
  <si>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</si>
  <si>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</si>
  <si>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</si>
  <si>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</si>
  <si>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</si>
  <si>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</si>
  <si>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</si>
  <si>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</si>
  <si>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</si>
  <si>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</si>
  <si>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</si>
  <si>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</si>
  <si>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</si>
  <si>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</si>
  <si>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</si>
  <si>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</si>
  <si>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</si>
  <si>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</si>
  <si>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</si>
  <si>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</si>
  <si>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</si>
  <si>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</si>
  <si>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</si>
  <si>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</si>
  <si>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</si>
  <si>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</si>
  <si>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</si>
  <si>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</si>
  <si>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</si>
  <si>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</si>
  <si>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</si>
  <si>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</si>
  <si>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</si>
  <si>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</si>
  <si>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</si>
  <si>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</si>
  <si>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</si>
  <si>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</si>
  <si>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</si>
  <si>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</si>
  <si>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</si>
  <si>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</si>
  <si>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</si>
  <si>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</si>
  <si>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</si>
  <si>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</si>
  <si>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</si>
  <si>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</si>
  <si>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</si>
  <si>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</si>
  <si>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</si>
  <si>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</si>
  <si>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</si>
  <si>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</si>
  <si>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</si>
  <si>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</si>
  <si>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</si>
  <si>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</si>
  <si>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</si>
  <si>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</si>
  <si>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</si>
  <si>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</si>
  <si>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</si>
  <si>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</si>
  <si>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</si>
  <si>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</si>
  <si>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</si>
  <si>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</si>
  <si>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</si>
  <si>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</si>
  <si>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</si>
  <si>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</si>
  <si>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</si>
  <si>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</si>
  <si>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</si>
  <si>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</si>
  <si>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</si>
  <si>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</si>
  <si>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</si>
  <si>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</si>
  <si>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</si>
  <si>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</si>
  <si>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</si>
  <si>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</si>
  <si>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</si>
  <si>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</si>
  <si>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</si>
  <si>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</si>
  <si>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</si>
  <si>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</si>
  <si>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</si>
  <si>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</si>
  <si>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</si>
  <si>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</si>
  <si>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</si>
  <si>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</si>
  <si>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</si>
  <si>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</si>
  <si>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</si>
  <si>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</si>
  <si>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</si>
  <si>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</si>
  <si>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</si>
  <si>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</si>
  <si>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</si>
  <si>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</si>
  <si>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</si>
  <si>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</si>
  <si>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</si>
  <si>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</si>
  <si>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</si>
  <si>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</si>
  <si>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</si>
  <si>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</si>
  <si>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</si>
  <si>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</si>
  <si>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</si>
  <si>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</si>
  <si>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</si>
  <si>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</si>
  <si>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</si>
  <si>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</si>
  <si>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</si>
  <si>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</si>
  <si>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</si>
  <si>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</si>
  <si>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</si>
  <si>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</si>
  <si>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</si>
  <si>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</si>
  <si>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</si>
  <si>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</si>
  <si>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</si>
  <si>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</si>
  <si>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</si>
  <si>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</si>
  <si>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</si>
  <si>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</si>
  <si>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</si>
  <si>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</si>
  <si>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</si>
  <si>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</si>
  <si>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</si>
  <si>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</si>
  <si>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</si>
  <si>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</si>
  <si>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</si>
  <si>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</si>
  <si>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</si>
  <si>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</si>
  <si>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</si>
  <si>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</si>
  <si>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</si>
  <si>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</si>
  <si>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</si>
  <si>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</si>
  <si>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</si>
  <si>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</si>
  <si>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</si>
  <si>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</si>
  <si>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</si>
  <si>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</si>
  <si>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</si>
  <si>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</si>
  <si>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</si>
  <si>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</si>
  <si>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</si>
  <si>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</si>
  <si>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</si>
  <si>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</si>
  <si>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</si>
  <si>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</si>
  <si>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</si>
  <si>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</si>
  <si>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</si>
  <si>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</si>
  <si>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</si>
  <si>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</si>
  <si>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</si>
  <si>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</si>
  <si>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</si>
  <si>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</si>
  <si>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</si>
  <si>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</si>
  <si>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</si>
  <si>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</si>
  <si>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</si>
  <si>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</si>
  <si>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</si>
  <si>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</si>
  <si>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</si>
  <si>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</si>
  <si>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</si>
  <si>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</si>
  <si>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</si>
  <si>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</si>
  <si>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</si>
  <si>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</si>
  <si>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</si>
  <si>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</si>
  <si>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</si>
  <si>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</si>
  <si>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</si>
  <si>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</si>
  <si>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</si>
  <si>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</si>
  <si>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</si>
  <si>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</si>
  <si>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</si>
  <si>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</si>
  <si>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</si>
  <si>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</si>
  <si>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</si>
  <si>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</si>
  <si>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</si>
  <si>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</si>
  <si>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</si>
  <si>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</si>
  <si>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</si>
  <si>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</si>
  <si>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</si>
  <si>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</si>
  <si>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</si>
  <si>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</si>
  <si>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</si>
  <si>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</si>
  <si>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</si>
  <si>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</si>
  <si>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</si>
  <si>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</si>
  <si>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</si>
  <si>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</si>
  <si>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</si>
  <si>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</si>
  <si>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</si>
  <si>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</si>
  <si>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</si>
  <si>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</si>
  <si>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</si>
  <si>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</si>
  <si>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</si>
  <si>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</si>
  <si>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</si>
  <si>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</si>
  <si>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</si>
  <si>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</si>
  <si>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</si>
  <si>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</si>
  <si>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</si>
  <si>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</si>
  <si>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</si>
  <si>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</si>
  <si>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</si>
  <si>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</si>
  <si>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</si>
  <si>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</si>
  <si>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</si>
  <si>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</si>
  <si>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</si>
  <si>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</si>
  <si>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</si>
  <si>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</si>
  <si>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</si>
  <si>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</si>
  <si>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</si>
  <si>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</si>
  <si>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</si>
  <si>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</si>
  <si>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</si>
  <si>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</si>
  <si>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</si>
  <si>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</si>
  <si>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</si>
  <si>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</si>
  <si>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</si>
  <si>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</si>
  <si>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</si>
  <si>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</si>
  <si>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</si>
  <si>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</si>
  <si>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</si>
  <si>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</si>
  <si>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</si>
  <si>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</si>
  <si>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</si>
  <si>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</si>
  <si>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</si>
  <si>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</si>
  <si>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</si>
  <si>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</si>
  <si>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</si>
  <si>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</si>
  <si>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</si>
  <si>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</si>
  <si>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</si>
  <si>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</si>
  <si>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</si>
  <si>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</si>
  <si>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</si>
  <si>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</si>
  <si>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</si>
  <si>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</si>
  <si>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</si>
  <si>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</si>
  <si>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</si>
  <si>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</si>
  <si>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</si>
  <si>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</si>
  <si>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</si>
  <si>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</si>
  <si>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</si>
  <si>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</si>
  <si>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</si>
  <si>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</si>
  <si>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</si>
  <si>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</si>
  <si>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</si>
  <si>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</si>
  <si>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</si>
  <si>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</si>
  <si>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</si>
  <si>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</si>
  <si>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</si>
  <si>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</si>
  <si>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</si>
  <si>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</si>
  <si>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</si>
  <si>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</si>
  <si>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</si>
  <si>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</si>
  <si>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</si>
  <si>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</si>
  <si>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</si>
  <si>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</si>
  <si>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</si>
  <si>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</si>
  <si>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</si>
  <si>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</si>
  <si>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</si>
  <si>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</si>
  <si>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</si>
  <si>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</si>
  <si>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</si>
  <si>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</si>
  <si>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</si>
  <si>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</si>
  <si>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</si>
  <si>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</si>
  <si>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</si>
  <si>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</si>
  <si>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</si>
  <si>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</si>
  <si>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</si>
  <si>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</si>
  <si>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</si>
  <si>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</si>
  <si>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</si>
  <si>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</si>
  <si>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</si>
  <si>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</si>
  <si>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</si>
  <si>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</si>
  <si>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</si>
  <si>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</si>
  <si>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</si>
  <si>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</si>
  <si>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</si>
  <si>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</si>
  <si>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</si>
  <si>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</si>
  <si>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</si>
  <si>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</si>
  <si>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</si>
  <si>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</si>
  <si>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</si>
  <si>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</si>
  <si>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</si>
  <si>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</si>
  <si>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</si>
  <si>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</si>
  <si>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</si>
  <si>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</si>
  <si>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</si>
  <si>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</si>
  <si>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</si>
  <si>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</si>
  <si>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</si>
  <si>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</si>
  <si>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</si>
  <si>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</si>
  <si>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</si>
  <si>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</si>
  <si>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</si>
  <si>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</si>
  <si>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</si>
  <si>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</si>
  <si>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</si>
  <si>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</si>
  <si>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</si>
  <si>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</si>
  <si>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</si>
  <si>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</si>
  <si>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</si>
  <si>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</si>
  <si>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</si>
  <si>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</si>
  <si>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</si>
  <si>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</si>
  <si>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</si>
  <si>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</si>
  <si>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</si>
  <si>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</si>
  <si>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</si>
  <si>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</si>
  <si>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</si>
  <si>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</si>
  <si>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</si>
  <si>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</si>
  <si>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</si>
  <si>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</si>
  <si>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</si>
  <si>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</si>
  <si>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</si>
  <si>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</si>
  <si>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</si>
  <si>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</si>
  <si>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</si>
  <si>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</si>
  <si>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</si>
  <si>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</si>
  <si>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</si>
  <si>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</si>
  <si>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</si>
  <si>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</si>
  <si>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</si>
  <si>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</si>
  <si>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</si>
  <si>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</si>
  <si>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</si>
  <si>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</si>
  <si>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</si>
  <si>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</si>
  <si>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</si>
  <si>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</si>
  <si>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</si>
  <si>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</si>
  <si>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</si>
  <si>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</si>
  <si>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</si>
  <si>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</si>
  <si>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</si>
  <si>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</si>
  <si>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</si>
  <si>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</si>
  <si>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</si>
  <si>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</si>
  <si>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</si>
  <si>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</si>
  <si>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</si>
  <si>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</si>
  <si>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</si>
  <si>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</si>
  <si>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</si>
  <si>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</si>
  <si>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</si>
  <si>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</si>
  <si>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</si>
  <si>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</si>
  <si>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</si>
  <si>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</si>
  <si>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</si>
  <si>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</si>
  <si>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</si>
  <si>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</si>
  <si>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</si>
  <si>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</si>
  <si>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</si>
  <si>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</si>
  <si>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</si>
  <si>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</si>
  <si>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</si>
  <si>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</si>
  <si>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</si>
  <si>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</si>
  <si>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</si>
  <si>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</si>
  <si>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</si>
  <si>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</si>
  <si>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</si>
  <si>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</si>
  <si>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</si>
  <si>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</si>
  <si>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</si>
  <si>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</si>
  <si>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</si>
  <si>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</si>
  <si>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</si>
  <si>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</si>
  <si>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</si>
  <si>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</si>
  <si>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</si>
  <si>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</si>
  <si>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</si>
  <si>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</si>
  <si>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</si>
  <si>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</si>
  <si>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</si>
  <si>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</si>
  <si>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</si>
  <si>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</si>
  <si>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</si>
  <si>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</si>
  <si>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</si>
  <si>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</si>
  <si>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</si>
  <si>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</si>
  <si>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</si>
  <si>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</si>
  <si>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</si>
  <si>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</si>
  <si>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</si>
  <si>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</si>
  <si>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</si>
  <si>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</si>
  <si>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</si>
  <si>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</si>
  <si>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</si>
  <si>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</si>
  <si>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</si>
  <si>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</si>
  <si>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</si>
  <si>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</si>
  <si>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</si>
  <si>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</si>
  <si>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</si>
  <si>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</si>
  <si>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</si>
  <si>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</si>
  <si>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</si>
  <si>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</si>
  <si>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</si>
  <si>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</si>
  <si>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</si>
  <si>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</si>
  <si>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</si>
  <si>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</si>
  <si>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</si>
  <si>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</si>
  <si>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</si>
  <si>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</si>
  <si>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</si>
  <si>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</si>
  <si>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</si>
  <si>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</si>
  <si>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</si>
  <si>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</si>
  <si>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</si>
  <si>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</si>
  <si>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</si>
  <si>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</si>
  <si>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</si>
  <si>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</si>
  <si>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</si>
  <si>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</si>
  <si>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</si>
  <si>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</si>
  <si>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</si>
  <si>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</si>
  <si>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</si>
  <si>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</si>
  <si>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</si>
  <si>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</si>
  <si>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</si>
  <si>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</si>
  <si>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</si>
  <si>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</si>
  <si>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</si>
  <si>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</si>
  <si>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</si>
  <si>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</si>
  <si>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</si>
  <si>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</si>
  <si>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</si>
  <si>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</si>
  <si>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</si>
  <si>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</si>
  <si>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</si>
  <si>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</si>
  <si>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</si>
  <si>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</si>
  <si>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</si>
  <si>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</si>
  <si>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</si>
  <si>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</si>
  <si>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</si>
  <si>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</si>
  <si>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</si>
  <si>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</si>
  <si>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</si>
  <si>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</si>
  <si>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</si>
  <si>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</si>
  <si>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</si>
  <si>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</si>
  <si>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</si>
  <si>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</si>
  <si>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</si>
  <si>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</si>
  <si>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</si>
  <si>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</si>
  <si>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</si>
  <si>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</si>
  <si>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</si>
  <si>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</si>
  <si>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</si>
  <si>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</si>
  <si>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</si>
  <si>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</si>
  <si>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</si>
  <si>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</si>
  <si>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</si>
  <si>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</si>
  <si>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</si>
  <si>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</si>
  <si>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</si>
  <si>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</si>
  <si>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</si>
  <si>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</si>
  <si>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</si>
  <si>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</si>
  <si>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</si>
  <si>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</si>
  <si>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</si>
  <si>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</si>
  <si>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</si>
  <si>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</si>
  <si>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</si>
  <si>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</si>
  <si>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</si>
  <si>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</si>
  <si>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</si>
  <si>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</si>
  <si>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</si>
  <si>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</si>
  <si>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</si>
  <si>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</si>
  <si>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</si>
  <si>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</si>
  <si>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</si>
  <si>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</si>
  <si>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</si>
  <si>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</si>
  <si>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</si>
  <si>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</si>
  <si>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</si>
  <si>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</si>
  <si>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</si>
  <si>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</si>
  <si>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</si>
  <si>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</si>
  <si>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</si>
  <si>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</si>
  <si>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</si>
  <si>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</si>
  <si>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</si>
  <si>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</si>
  <si>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</si>
  <si>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</si>
  <si>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</si>
  <si>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</si>
  <si>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</si>
  <si>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</si>
  <si>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</si>
  <si>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</si>
  <si>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</si>
  <si>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</si>
  <si>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</si>
  <si>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</si>
  <si>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</si>
  <si>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</si>
  <si>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</si>
  <si>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</si>
  <si>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</si>
  <si>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</si>
  <si>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</si>
  <si>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</si>
  <si>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</si>
  <si>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</si>
  <si>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</si>
  <si>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</si>
  <si>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</si>
  <si>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</si>
  <si>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</si>
  <si>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</si>
  <si>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</si>
  <si>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</si>
  <si>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</si>
  <si>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</si>
  <si>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</si>
  <si>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</si>
  <si>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</si>
  <si>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</si>
  <si>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</si>
  <si>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</si>
  <si>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</si>
  <si>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</si>
  <si>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</si>
  <si>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</si>
  <si>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</si>
  <si>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</si>
  <si>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</si>
  <si>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</si>
  <si>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</si>
  <si>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</si>
  <si>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</si>
  <si>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</si>
  <si>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</si>
  <si>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</si>
  <si>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</si>
  <si>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</si>
  <si>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</si>
  <si>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</si>
  <si>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</si>
  <si>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</si>
  <si>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</si>
  <si>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</si>
  <si>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</si>
  <si>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</si>
  <si>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</si>
  <si>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</si>
  <si>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</si>
  <si>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</si>
  <si>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</si>
  <si>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</si>
  <si>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</si>
  <si>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</si>
  <si>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</si>
  <si>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</si>
  <si>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</si>
  <si>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</si>
  <si>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</si>
  <si>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</si>
  <si>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</si>
  <si>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</si>
  <si>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</si>
  <si>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</si>
  <si>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</si>
  <si>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</si>
  <si>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</si>
  <si>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</si>
  <si>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</si>
  <si>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</si>
  <si>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</si>
  <si>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</si>
  <si>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</si>
  <si>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</si>
  <si>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</si>
  <si>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</si>
  <si>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</si>
  <si>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</si>
  <si>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</si>
  <si>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</si>
  <si>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</si>
  <si>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</si>
  <si>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</si>
  <si>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</si>
  <si>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</si>
  <si>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</si>
  <si>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</si>
  <si>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</si>
  <si>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</si>
  <si>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</si>
  <si>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</si>
  <si>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</si>
  <si>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</si>
  <si>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</si>
  <si>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</si>
  <si>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</si>
  <si>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</si>
  <si>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</si>
  <si>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</si>
  <si>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</si>
  <si>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</si>
  <si>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</si>
  <si>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</si>
  <si>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</si>
  <si>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</si>
  <si>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</si>
  <si>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</si>
  <si>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</si>
  <si>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</si>
  <si>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</si>
  <si>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</si>
  <si>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</si>
  <si>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</si>
  <si>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</si>
  <si>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</si>
  <si>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</si>
  <si>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</si>
  <si>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</si>
  <si>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</si>
  <si>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</si>
  <si>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</si>
  <si>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</si>
  <si>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</si>
  <si>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</si>
  <si>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</si>
  <si>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</si>
  <si>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</si>
  <si>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</si>
  <si>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</si>
  <si>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</si>
  <si>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</si>
  <si>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</si>
  <si>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</si>
  <si>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</si>
  <si>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</si>
  <si>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</si>
  <si>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</si>
  <si>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</si>
  <si>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</si>
  <si>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</si>
  <si>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</si>
  <si>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</si>
  <si>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</si>
  <si>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</si>
  <si>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</si>
  <si>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</si>
  <si>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</si>
  <si>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</si>
  <si>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</si>
  <si>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</si>
  <si>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</si>
  <si>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</si>
  <si>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</si>
  <si>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</si>
  <si>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</si>
  <si>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</si>
  <si>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</si>
  <si>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</si>
  <si>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</si>
  <si>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</si>
  <si>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</si>
  <si>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</si>
  <si>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</si>
  <si>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</si>
  <si>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</si>
  <si>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</si>
  <si>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</si>
  <si>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</si>
  <si>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</si>
  <si>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</si>
  <si>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</si>
  <si>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</si>
  <si>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</si>
  <si>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</si>
  <si>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</si>
  <si>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</si>
  <si>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</si>
  <si>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</si>
  <si>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</si>
  <si>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</si>
  <si>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</si>
  <si>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</si>
  <si>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</si>
  <si>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</si>
  <si>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</si>
  <si>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</si>
  <si>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</si>
  <si>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</si>
  <si>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</si>
  <si>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</si>
  <si>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</si>
  <si>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</si>
  <si>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</si>
  <si>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</si>
  <si>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</si>
  <si>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</si>
  <si>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</si>
  <si>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</si>
  <si>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</si>
  <si>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</si>
  <si>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</si>
  <si>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</si>
  <si>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</si>
  <si>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</si>
  <si>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</si>
  <si>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</si>
  <si>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</si>
  <si>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</si>
  <si>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</si>
  <si>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</si>
  <si>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</si>
  <si>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</si>
  <si>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</si>
  <si>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</si>
  <si>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</si>
  <si>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</si>
  <si>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</si>
  <si>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</si>
  <si>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</si>
  <si>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</si>
  <si>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</si>
  <si>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</si>
  <si>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</si>
  <si>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</si>
  <si>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</si>
  <si>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</si>
  <si>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</si>
  <si>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</si>
  <si>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</si>
  <si>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</si>
  <si>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</si>
  <si>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</si>
  <si>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</si>
  <si>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</si>
  <si>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</si>
  <si>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</si>
  <si>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</si>
  <si>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</si>
  <si>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</si>
  <si>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</si>
  <si>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</si>
  <si>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</si>
  <si>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</si>
  <si>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</si>
  <si>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</si>
  <si>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</si>
  <si>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</si>
  <si>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</si>
  <si>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</si>
  <si>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</si>
  <si>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</si>
  <si>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</si>
  <si>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</si>
  <si>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</si>
  <si>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</si>
  <si>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</si>
  <si>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</si>
  <si>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</si>
  <si>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</si>
  <si>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</si>
  <si>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</si>
  <si>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</si>
  <si>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</si>
  <si>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</si>
  <si>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</si>
  <si>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</si>
  <si>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</si>
  <si>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</si>
  <si>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</si>
  <si>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</si>
  <si>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</si>
  <si>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</si>
  <si>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</si>
  <si>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</si>
  <si>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</si>
  <si>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</si>
  <si>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</si>
  <si>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</si>
  <si>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</si>
  <si>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</si>
  <si>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</si>
  <si>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</si>
  <si>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</si>
  <si>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</si>
  <si>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</si>
  <si>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</si>
  <si>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</si>
  <si>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</si>
  <si>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</si>
  <si>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</si>
  <si>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</si>
  <si>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</si>
  <si>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</si>
  <si>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</si>
  <si>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</si>
  <si>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</si>
  <si>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</si>
  <si>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</si>
  <si>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</si>
  <si>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</si>
  <si>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</si>
  <si>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</si>
  <si>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</si>
  <si>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</si>
  <si>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</si>
  <si>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</si>
  <si>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</si>
  <si>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</si>
  <si>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</si>
  <si>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</si>
  <si>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</si>
  <si>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</si>
  <si>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</si>
  <si>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</si>
  <si>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</si>
  <si>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</si>
  <si>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</si>
  <si>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</si>
  <si>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</si>
  <si>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</si>
  <si>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</si>
  <si>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</si>
  <si>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</si>
  <si>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</si>
  <si>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</si>
  <si>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</si>
  <si>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</si>
  <si>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</si>
  <si>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</si>
  <si>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</si>
  <si>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</si>
  <si>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</si>
  <si>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</si>
  <si>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</si>
  <si>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</si>
  <si>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</si>
  <si>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</si>
  <si>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</si>
  <si>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</si>
  <si>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</si>
  <si>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</si>
  <si>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</si>
  <si>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</si>
  <si>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</si>
  <si>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</si>
  <si>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</si>
  <si>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</si>
  <si>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</si>
  <si>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</si>
  <si>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</si>
  <si>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</si>
  <si>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</si>
  <si>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</si>
  <si>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</si>
  <si>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</si>
  <si>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</si>
  <si>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</si>
  <si>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</si>
  <si>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</si>
  <si>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</si>
  <si>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</si>
  <si>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</si>
  <si>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</si>
  <si>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</si>
  <si>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</si>
  <si>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</si>
  <si>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</si>
  <si>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</si>
  <si>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</si>
  <si>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</si>
  <si>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</si>
  <si>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</si>
  <si>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</si>
  <si>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</si>
  <si>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</si>
  <si>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</si>
  <si>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</si>
  <si>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</si>
  <si>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</si>
  <si>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</si>
  <si>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</si>
  <si>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</si>
  <si>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</si>
  <si>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</si>
  <si>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</si>
  <si>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</si>
  <si>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</si>
  <si>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</si>
  <si>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</si>
  <si>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</si>
  <si>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</si>
  <si>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</si>
  <si>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</si>
  <si>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</si>
  <si>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</si>
  <si>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</si>
  <si>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</si>
  <si>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</si>
  <si>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</si>
  <si>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</si>
  <si>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</si>
  <si>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</si>
  <si>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</si>
  <si>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</si>
  <si>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</si>
  <si>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</si>
  <si>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</si>
  <si>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</si>
  <si>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</si>
  <si>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</si>
  <si>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</si>
  <si>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</si>
  <si>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</si>
  <si>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</si>
  <si>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</si>
  <si>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</si>
  <si>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</si>
  <si>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</si>
  <si>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</si>
  <si>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</si>
  <si>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</si>
  <si>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</si>
  <si>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</si>
  <si>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</si>
  <si>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</si>
  <si>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</si>
  <si>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</si>
  <si>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</si>
  <si>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</si>
  <si>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</si>
  <si>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</si>
  <si>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</si>
  <si>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</si>
  <si>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</si>
  <si>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</si>
  <si>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</si>
  <si>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</si>
  <si>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</si>
  <si>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</si>
  <si>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</si>
  <si>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</si>
  <si>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</si>
  <si>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</si>
  <si>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</si>
  <si>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</si>
  <si>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</si>
  <si>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</si>
  <si>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</si>
  <si>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</si>
  <si>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</si>
  <si>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</si>
  <si>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</si>
  <si>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</si>
  <si>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</si>
  <si>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</si>
  <si>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</si>
  <si>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</si>
  <si>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</si>
  <si>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</si>
  <si>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</si>
  <si>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</si>
  <si>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</si>
  <si>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</si>
  <si>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</si>
  <si>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</si>
  <si>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</si>
  <si>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</si>
  <si>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</si>
  <si>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</si>
  <si>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</si>
  <si>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</si>
  <si>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</si>
  <si>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</si>
  <si>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</si>
  <si>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</si>
  <si>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</si>
  <si>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</si>
  <si>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</si>
  <si>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</si>
  <si>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</si>
  <si>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</si>
  <si>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</si>
  <si>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</si>
  <si>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</si>
  <si>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</si>
  <si>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</si>
  <si>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</si>
  <si>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</si>
  <si>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</si>
  <si>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</si>
  <si>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</si>
  <si>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</si>
  <si>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</si>
  <si>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</si>
  <si>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</si>
  <si>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</si>
  <si>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</si>
  <si>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</si>
  <si>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</si>
  <si>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</si>
  <si>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</si>
  <si>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</si>
  <si>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</si>
  <si>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</si>
  <si>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</si>
  <si>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</si>
  <si>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</si>
  <si>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</si>
  <si>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</si>
  <si>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</si>
  <si>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</si>
  <si>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</si>
  <si>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</si>
  <si>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</si>
  <si>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</si>
  <si>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</si>
  <si>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</si>
  <si>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</si>
  <si>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</si>
  <si>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</si>
  <si>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</si>
  <si>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</si>
  <si>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</si>
  <si>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</si>
  <si>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</si>
  <si>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</si>
  <si>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</si>
  <si>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</si>
  <si>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</si>
  <si>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</si>
  <si>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</si>
  <si>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</si>
  <si>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</si>
  <si>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</si>
  <si>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</si>
  <si>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</si>
  <si>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</si>
  <si>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</si>
  <si>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</si>
  <si>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</si>
  <si>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</si>
  <si>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</si>
  <si>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</si>
  <si>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</si>
  <si>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</si>
  <si>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</si>
  <si>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</si>
  <si>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</si>
  <si>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</si>
  <si>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</si>
  <si>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</si>
  <si>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</si>
  <si>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</si>
  <si>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</si>
  <si>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</si>
  <si>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</si>
  <si>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</si>
  <si>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</si>
  <si>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</si>
  <si>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</si>
  <si>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</si>
  <si>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</si>
  <si>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</si>
  <si>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</si>
  <si>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</si>
  <si>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</si>
  <si>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</si>
  <si>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</si>
  <si>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</si>
  <si>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</si>
  <si>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</si>
  <si>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</si>
  <si>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</si>
  <si>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</si>
  <si>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</si>
  <si>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</si>
  <si>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</si>
  <si>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</si>
  <si>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</si>
  <si>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</si>
  <si>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</si>
  <si>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</si>
  <si>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</si>
  <si>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</si>
  <si>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</si>
  <si>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</si>
  <si>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</si>
  <si>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</si>
  <si>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</si>
  <si>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</si>
  <si>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</si>
  <si>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</si>
  <si>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</si>
  <si>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</si>
  <si>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</si>
  <si>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</si>
  <si>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</si>
  <si>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</si>
  <si>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</si>
  <si>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</si>
  <si>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</si>
  <si>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</si>
  <si>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</si>
  <si>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</si>
  <si>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</si>
  <si>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</si>
  <si>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</si>
  <si>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</si>
  <si>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</si>
  <si>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</si>
  <si>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</si>
  <si>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</si>
  <si>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</si>
  <si>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</si>
  <si>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</si>
  <si>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</si>
  <si>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</si>
  <si>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</si>
  <si>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</si>
  <si>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</si>
  <si>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</si>
  <si>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</si>
  <si>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</si>
  <si>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</si>
  <si>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</si>
  <si>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</si>
  <si>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</si>
  <si>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</si>
  <si>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</si>
  <si>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</si>
  <si>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</si>
  <si>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</si>
  <si>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</si>
  <si>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</si>
  <si>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</si>
  <si>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</si>
  <si>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</si>
  <si>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</si>
  <si>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</si>
  <si>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</si>
  <si>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</si>
  <si>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</si>
  <si>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</si>
  <si>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</si>
  <si>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</si>
  <si>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</si>
  <si>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</si>
  <si>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</si>
  <si>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</si>
  <si>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</si>
  <si>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</si>
  <si>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</si>
  <si>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</si>
  <si>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</si>
  <si>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</si>
  <si>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</si>
  <si>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</si>
  <si>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</si>
  <si>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</si>
  <si>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</si>
  <si>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</si>
  <si>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</si>
  <si>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</si>
  <si>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</si>
  <si>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</si>
  <si>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</si>
  <si>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</si>
  <si>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</si>
  <si>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</si>
  <si>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</si>
  <si>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</si>
  <si>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</si>
  <si>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</si>
  <si>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</si>
  <si>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</si>
  <si>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</si>
  <si>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</si>
  <si>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</si>
  <si>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</si>
  <si>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</si>
  <si>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</si>
  <si>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</si>
  <si>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</si>
  <si>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</si>
  <si>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</si>
  <si>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</si>
  <si>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</si>
  <si>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</si>
  <si>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</si>
  <si>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</si>
  <si>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</si>
  <si>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</si>
  <si>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</si>
  <si>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</si>
  <si>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</si>
  <si>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</si>
  <si>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</si>
  <si>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</si>
  <si>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</si>
  <si>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</si>
  <si>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</si>
  <si>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</si>
  <si>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</si>
  <si>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</si>
  <si>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</si>
  <si>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</si>
  <si>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</si>
  <si>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</si>
  <si>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</si>
  <si>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</si>
  <si>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</si>
  <si>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</si>
  <si>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</si>
  <si>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</si>
  <si>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</si>
  <si>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</si>
  <si>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</si>
  <si>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</si>
  <si>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</si>
  <si>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</si>
  <si>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</si>
  <si>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</si>
  <si>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</si>
  <si>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</si>
  <si>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</si>
  <si>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</si>
  <si>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</si>
  <si>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</si>
  <si>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</si>
  <si>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</si>
  <si>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</si>
  <si>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</si>
  <si>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</si>
  <si>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</si>
  <si>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</si>
  <si>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</si>
  <si>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</si>
  <si>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</si>
  <si>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</si>
  <si>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</si>
  <si>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</si>
  <si>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</si>
  <si>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</si>
  <si>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</si>
  <si>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</si>
  <si>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</si>
  <si>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</si>
  <si>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</si>
  <si>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</si>
  <si>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</si>
  <si>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</si>
  <si>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</si>
  <si>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</si>
  <si>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</si>
  <si>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</si>
  <si>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</si>
  <si>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</si>
  <si>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</si>
  <si>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</si>
  <si>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</si>
  <si>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</si>
  <si>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</si>
  <si>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</si>
  <si>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</si>
  <si>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</si>
  <si>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</si>
  <si>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</si>
  <si>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</si>
  <si>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</si>
  <si>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</si>
  <si>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</si>
  <si>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</si>
  <si>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</si>
  <si>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</si>
  <si>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</si>
  <si>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</si>
  <si>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</si>
  <si>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</si>
  <si>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</si>
  <si>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</si>
  <si>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</si>
  <si>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</si>
  <si>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</si>
  <si>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</si>
  <si>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</si>
  <si>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</si>
  <si>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</si>
  <si>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</si>
  <si>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</si>
  <si>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</si>
  <si>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</si>
  <si>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</si>
  <si>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</si>
  <si>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</si>
  <si>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</si>
  <si>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</si>
  <si>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</si>
  <si>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</si>
  <si>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</si>
  <si>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</si>
  <si>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</si>
  <si>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</si>
  <si>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</si>
  <si>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</si>
  <si>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</si>
  <si>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</si>
  <si>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</si>
  <si>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</si>
  <si>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</si>
  <si>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</si>
  <si>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</si>
  <si>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</si>
  <si>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</si>
  <si>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</si>
  <si>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</si>
  <si>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</si>
  <si>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</si>
  <si>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</si>
  <si>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</si>
  <si>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</si>
  <si>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</si>
  <si>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</si>
  <si>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</si>
  <si>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</si>
  <si>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</si>
  <si>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</si>
  <si>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</si>
  <si>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</si>
  <si>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</si>
  <si>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</si>
  <si>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</si>
  <si>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</si>
  <si>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</si>
  <si>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</si>
  <si>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</si>
  <si>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</si>
  <si>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</si>
  <si>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</si>
  <si>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</si>
  <si>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</si>
  <si>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</si>
  <si>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</si>
  <si>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</si>
  <si>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</si>
  <si>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</si>
  <si>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</si>
  <si>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</si>
  <si>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</si>
  <si>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</si>
  <si>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</si>
  <si>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</si>
  <si>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</si>
  <si>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</si>
  <si>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</si>
  <si>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</si>
  <si>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</si>
  <si>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</si>
  <si>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</si>
  <si>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</si>
  <si>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</si>
  <si>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BASIC STATISTICS</t>
  </si>
  <si>
    <t>Average Unit Price</t>
  </si>
  <si>
    <t>Median Unitprice</t>
  </si>
  <si>
    <t>Average Quantity</t>
  </si>
  <si>
    <t>Median Quantity</t>
  </si>
  <si>
    <t>Average TotalPrice</t>
  </si>
  <si>
    <t>Median TotalPrice</t>
  </si>
  <si>
    <t>Total Orders</t>
  </si>
  <si>
    <t>RESULTS</t>
  </si>
  <si>
    <t>PRODUCT ANALYSIS</t>
  </si>
  <si>
    <t>Total:</t>
  </si>
  <si>
    <r>
      <rPr>
        <b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>:</t>
    </r>
  </si>
  <si>
    <t>PAYMENT METHOD ANALYSIS</t>
  </si>
  <si>
    <t>ORDER STATUS ANALYSIS</t>
  </si>
  <si>
    <t>Deliverd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</si>
</sst>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4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D8D5B5-E0EA-4EED-8625-8C5DA26FBF80}" name="Data" displayName="Data" ref="A1:N1201" totalsRowShown="0" headerRowDxfId="3" headerRowBorderDxfId="2" tableBorderDxfId="1">
  <autoFilter ref="A1:N1201" xr:uid="{15D8D5B5-E0EA-4EED-8625-8C5DA26FBF80}"/>
  <tableColumns count="14">
    <tableColumn id="1" xr3:uid="{4F2458F3-9FA2-4016-B6A4-26AAD34F1E42}" name="OrderID"/>
    <tableColumn id="2" xr3:uid="{2D925E8F-7C50-4B2C-9B93-6377C8868A12}" name="Date" dataDxfId="0"/>
    <tableColumn id="3" xr3:uid="{45D37EEF-C49F-4165-B0F7-DD998BD4CF8D}" name="CustomerID"/>
    <tableColumn id="4" xr3:uid="{C504BD5A-2549-44C9-A00A-600A30399A26}" name="Product"/>
    <tableColumn id="5" xr3:uid="{87EED681-E3F1-4837-BD45-DEFEF0E48C2F}" name="Quantity"/>
    <tableColumn id="6" xr3:uid="{E1AB4524-CF43-4A5C-B694-056915806650}" name="UnitPrice"/>
    <tableColumn id="7" xr3:uid="{C2D91767-E4AE-4C81-8896-134C717A03C7}" name="ShippingAddress"/>
    <tableColumn id="8" xr3:uid="{9710EB2E-C5DE-4E11-B608-ECB227C01126}" name="PaymentMethod"/>
    <tableColumn id="9" xr3:uid="{C1C109B5-DED1-4D1E-BD40-4391647C075E}" name="OrderStatus"/>
    <tableColumn id="10" xr3:uid="{8E3D89FF-A3CB-4011-BED4-3B6FE972338E}" name="TrackingNumber"/>
    <tableColumn id="11" xr3:uid="{E4C713B7-B0FB-433F-805D-94DD8A499B9C}" name="ItemsInCart"/>
    <tableColumn id="12" xr3:uid="{D046A699-26D4-4D06-9622-7E81FFF898EC}" name="CouponCode"/>
    <tableColumn id="13" xr3:uid="{9BF52B7B-78E7-463F-A7A6-6C4081052DB8}" name="ReferralSource"/>
    <tableColumn id="14" xr3:uid="{A19D4B6E-68F9-49EA-A4EC-EAC97891FDA6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1201"/>
  <sheetViews>
    <sheetView topLeftCell="A7" workbookViewId="0">
      <selection activeCell="G13" sqref="G13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3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36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36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36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36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36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36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36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36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36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36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36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36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EF13">
        <f>COUNTIF(H:H,"Debit Card")</f>
        <v>232</v>
      </c>
    </row>
    <row r="14" spans="1:136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36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36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BCA52-ACA1-44D7-A20A-A54FE6B9815D}">
  <dimension ref="A1:K10"/>
  <sheetViews>
    <sheetView tabSelected="1" workbookViewId="0">
      <selection activeCell="F19" sqref="F19"/>
    </sheetView>
  </sheetViews>
  <sheetFormatPr defaultRowHeight="15" x14ac:dyDescent="0.25"/>
  <cols>
    <col min="1" max="1" width="27.140625" bestFit="1" customWidth="1"/>
    <col min="2" max="2" width="9.140625" style="5"/>
    <col min="4" max="4" width="23.28515625" bestFit="1" customWidth="1"/>
    <col min="7" max="7" width="18.85546875" bestFit="1" customWidth="1"/>
    <col min="10" max="10" width="27.7109375" bestFit="1" customWidth="1"/>
  </cols>
  <sheetData>
    <row r="1" spans="1:11" x14ac:dyDescent="0.25">
      <c r="A1" s="3" t="s">
        <v>4284</v>
      </c>
      <c r="B1" s="4" t="s">
        <v>4292</v>
      </c>
      <c r="D1" s="3" t="s">
        <v>4297</v>
      </c>
      <c r="E1" s="3" t="s">
        <v>4292</v>
      </c>
    </row>
    <row r="2" spans="1:11" x14ac:dyDescent="0.25">
      <c r="A2" t="s">
        <v>4285</v>
      </c>
      <c r="B2">
        <f>AVERAGE(AVERAGE(Sheet1!F2:F1201))</f>
        <v>356.41275000000007</v>
      </c>
      <c r="D2" t="s">
        <v>4298</v>
      </c>
      <c r="E2">
        <f>COUNTIF(Sheet1!I2:I1201,"Delivered")</f>
        <v>231</v>
      </c>
      <c r="G2" s="3" t="s">
        <v>4293</v>
      </c>
      <c r="H2" s="3" t="s">
        <v>4292</v>
      </c>
    </row>
    <row r="3" spans="1:11" x14ac:dyDescent="0.25">
      <c r="A3" t="s">
        <v>4286</v>
      </c>
      <c r="B3">
        <f>MEDIAN(Sheet1!F1:F1201)</f>
        <v>364.21</v>
      </c>
      <c r="D3" t="s">
        <v>3070</v>
      </c>
      <c r="E3">
        <f>COUNTIF(Sheet1!I2:I1201,"Shipped")</f>
        <v>235</v>
      </c>
      <c r="G3" t="s">
        <v>2403</v>
      </c>
      <c r="H3">
        <f>COUNTIF(Sheet1!D2:D1201,"Monitor")</f>
        <v>163</v>
      </c>
      <c r="J3" s="3" t="s">
        <v>4296</v>
      </c>
      <c r="K3" s="3" t="s">
        <v>4292</v>
      </c>
    </row>
    <row r="4" spans="1:11" x14ac:dyDescent="0.25">
      <c r="A4" t="s">
        <v>4287</v>
      </c>
      <c r="B4" s="5">
        <f>AVERAGE(Sheet1!E2:E1201)</f>
        <v>2.9458333333333333</v>
      </c>
      <c r="D4" t="s">
        <v>3074</v>
      </c>
      <c r="E4">
        <f>COUNTIF(Sheet1!I2:I1201,"Pending")</f>
        <v>237</v>
      </c>
      <c r="G4" t="s">
        <v>2404</v>
      </c>
      <c r="H4">
        <f>COUNTIF(Sheet1!D2:D1201,"Phone")</f>
        <v>156</v>
      </c>
      <c r="J4" t="s">
        <v>3067</v>
      </c>
      <c r="K4">
        <f>COUNTIF(Sheet1!H:H,"Credit Card")</f>
        <v>234</v>
      </c>
    </row>
    <row r="5" spans="1:11" x14ac:dyDescent="0.25">
      <c r="A5" t="s">
        <v>4288</v>
      </c>
      <c r="B5" s="5">
        <f>MEDIAN(Sheet1!E2:E1201)</f>
        <v>3</v>
      </c>
      <c r="D5" t="s">
        <v>3071</v>
      </c>
      <c r="E5">
        <f>COUNTIF(Sheet1!I2:I1201,"Cancelled")</f>
        <v>250</v>
      </c>
      <c r="G5" t="s">
        <v>2405</v>
      </c>
      <c r="H5">
        <f>COUNTIF(Sheet1!D2:D1201,"Tablet")</f>
        <v>179</v>
      </c>
      <c r="J5" t="s">
        <v>3065</v>
      </c>
      <c r="K5">
        <f>COUNTIF(Sheet1!H:H,"Debit Card")</f>
        <v>232</v>
      </c>
    </row>
    <row r="6" spans="1:11" x14ac:dyDescent="0.25">
      <c r="A6" t="s">
        <v>4289</v>
      </c>
      <c r="B6">
        <f>AVERAGE(Sheet1!N2:N1201)</f>
        <v>1053.9683000000005</v>
      </c>
      <c r="D6" t="s">
        <v>3072</v>
      </c>
      <c r="E6">
        <f>COUNTIF(Sheet1!I2:I1201,"Returned")</f>
        <v>247</v>
      </c>
      <c r="G6" t="s">
        <v>2406</v>
      </c>
      <c r="H6">
        <f>COUNTIF(Sheet1!D2:D1201,"Chair")</f>
        <v>178</v>
      </c>
      <c r="J6" t="s">
        <v>3069</v>
      </c>
      <c r="K6">
        <f>COUNTIF(Sheet1!H2:H1201,"Cash")</f>
        <v>246</v>
      </c>
    </row>
    <row r="7" spans="1:11" x14ac:dyDescent="0.25">
      <c r="A7" t="s">
        <v>4290</v>
      </c>
      <c r="B7">
        <f>MEDIAN(Sheet1!N2:N1201)</f>
        <v>823.61500000000001</v>
      </c>
      <c r="E7">
        <f>SUM(E2:E6)</f>
        <v>1200</v>
      </c>
      <c r="G7" t="s">
        <v>2407</v>
      </c>
      <c r="H7">
        <f>COUNTIF(Sheet1!D2:D1201,"Printer")</f>
        <v>181</v>
      </c>
      <c r="J7" t="s">
        <v>3066</v>
      </c>
      <c r="K7">
        <f>COUNTIF(Sheet1!H2:H1201,"Online")</f>
        <v>258</v>
      </c>
    </row>
    <row r="8" spans="1:11" x14ac:dyDescent="0.25">
      <c r="A8" t="s">
        <v>4291</v>
      </c>
      <c r="B8" s="5">
        <f>COUNTA(Sheet1!A2:A1201)</f>
        <v>1200</v>
      </c>
      <c r="G8" t="s">
        <v>2408</v>
      </c>
      <c r="H8">
        <f>COUNTIF(Sheet1!D2:D1201,"Laptop")</f>
        <v>173</v>
      </c>
      <c r="J8" t="s">
        <v>3068</v>
      </c>
      <c r="K8">
        <f>COUNTIF(Sheet1!H2:H1201,"Gift Card")</f>
        <v>230</v>
      </c>
    </row>
    <row r="9" spans="1:11" x14ac:dyDescent="0.25">
      <c r="D9" s="5"/>
      <c r="G9" t="s">
        <v>2409</v>
      </c>
      <c r="H9">
        <f>COUNTIF(Sheet1!D2:D1201,"Desk")</f>
        <v>170</v>
      </c>
      <c r="J9" t="s">
        <v>4294</v>
      </c>
      <c r="K9">
        <v>1200</v>
      </c>
    </row>
    <row r="10" spans="1:11" x14ac:dyDescent="0.25">
      <c r="G10" t="s">
        <v>4295</v>
      </c>
      <c r="H10">
        <f>SUM(H3:H9)</f>
        <v>1200</v>
      </c>
    </row>
  </sheetData>
  <conditionalFormatting sqref="B1:B1048576">
    <cfRule type="colorScale" priority="10">
      <colorScale>
        <cfvo type="min"/>
        <cfvo type="max"/>
        <color rgb="FFFCFCFF"/>
        <color rgb="FF63BE7B"/>
      </colorScale>
    </cfRule>
  </conditionalFormatting>
  <conditionalFormatting sqref="E2:E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{36C06A39-73AC-4B47-B418-6FFF6CB7B893}</x14:id>
        </ext>
      </extLst>
    </cfRule>
    <cfRule type="colorScale" priority="3">
      <colorScale>
        <cfvo type="min"/>
        <cfvo type="max"/>
        <color rgb="FFFCFCFF"/>
        <color rgb="FF63BE7B"/>
      </colorScale>
    </cfRule>
  </conditionalFormatting>
  <conditionalFormatting sqref="H2:H9">
    <cfRule type="colorScale" priority="2">
      <colorScale>
        <cfvo type="min"/>
        <cfvo type="max"/>
        <color rgb="FFFCFCFF"/>
        <color rgb="FF63BE7B"/>
      </colorScale>
    </cfRule>
  </conditionalFormatting>
  <conditionalFormatting sqref="K4:K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C06A39-73AC-4B47-B418-6FFF6CB7B8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EDA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</dc:creator>
  <cp:lastModifiedBy>Susan</cp:lastModifiedBy>
  <dcterms:created xsi:type="dcterms:W3CDTF">2025-06-21T13:19:12Z</dcterms:created>
  <dcterms:modified xsi:type="dcterms:W3CDTF">2026-06-22T23:30:56Z</dcterms:modified>
</cp:coreProperties>
</file>